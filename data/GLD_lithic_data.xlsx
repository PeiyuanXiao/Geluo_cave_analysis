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Geluo_cave_analysis\data\"/>
    </mc:Choice>
  </mc:AlternateContent>
  <xr:revisionPtr revIDLastSave="0" documentId="13_ncr:1_{613DD10A-AC92-4A10-A2BD-F245E44E181A}" xr6:coauthVersionLast="47" xr6:coauthVersionMax="47" xr10:uidLastSave="{00000000-0000-0000-0000-000000000000}"/>
  <bookViews>
    <workbookView xWindow="0" yWindow="360" windowWidth="30936" windowHeight="18696" firstSheet="1" activeTab="1" xr2:uid="{813B3528-8EB7-4C50-AFE6-E9E25DACE1C9}"/>
  </bookViews>
  <sheets>
    <sheet name="Core" sheetId="1" r:id="rId1"/>
    <sheet name="Complete_flake" sheetId="3" r:id="rId2"/>
    <sheet name="Broken_flake" sheetId="4" r:id="rId3"/>
    <sheet name="Tool" sheetId="5" r:id="rId4"/>
    <sheet name="Chunk" sheetId="6" r:id="rId5"/>
  </sheets>
  <definedNames>
    <definedName name="_xlnm._FilterDatabase" localSheetId="2" hidden="1">Broken_flake!$B$1:$M$1</definedName>
    <definedName name="_xlnm._FilterDatabase" localSheetId="4" hidden="1">Chunk!$B$1:$L$1</definedName>
    <definedName name="_xlnm._FilterDatabase" localSheetId="1" hidden="1">Complete_flake!$A$1:$Y$119</definedName>
    <definedName name="_xlnm._FilterDatabase" localSheetId="0" hidden="1">Core!$A$1:$AG$1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" i="3" l="1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2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2" i="3"/>
  <c r="V3" i="5"/>
  <c r="V4" i="5"/>
  <c r="V5" i="5"/>
  <c r="V6" i="5"/>
  <c r="V7" i="5"/>
  <c r="V2" i="5"/>
  <c r="AE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2" i="1"/>
</calcChain>
</file>

<file path=xl/sharedStrings.xml><?xml version="1.0" encoding="utf-8"?>
<sst xmlns="http://schemas.openxmlformats.org/spreadsheetml/2006/main" count="2686" uniqueCount="439">
  <si>
    <t>Layer</t>
    <phoneticPr fontId="2" type="noConversion"/>
  </si>
  <si>
    <t>Raw_mat</t>
    <phoneticPr fontId="2" type="noConversion"/>
  </si>
  <si>
    <t>weath_deg</t>
    <phoneticPr fontId="2" type="noConversion"/>
  </si>
  <si>
    <t>Type</t>
    <phoneticPr fontId="2" type="noConversion"/>
  </si>
  <si>
    <t>Blank</t>
  </si>
  <si>
    <t>Cortex</t>
    <phoneticPr fontId="2" type="noConversion"/>
  </si>
  <si>
    <t>Cleavage</t>
  </si>
  <si>
    <t>Length</t>
    <phoneticPr fontId="2" type="noConversion"/>
  </si>
  <si>
    <t>Width</t>
    <phoneticPr fontId="2" type="noConversion"/>
  </si>
  <si>
    <t>Thickness</t>
    <phoneticPr fontId="2" type="noConversion"/>
  </si>
  <si>
    <t>Mass</t>
    <phoneticPr fontId="2" type="noConversion"/>
  </si>
  <si>
    <t>Facial</t>
    <phoneticPr fontId="2" type="noConversion"/>
  </si>
  <si>
    <t>Fac_rel</t>
    <phoneticPr fontId="1" type="noConversion"/>
  </si>
  <si>
    <t>Butt</t>
    <phoneticPr fontId="2" type="noConversion"/>
  </si>
  <si>
    <t>Butt_rel</t>
    <phoneticPr fontId="2" type="noConversion"/>
  </si>
  <si>
    <t>unwthrd</t>
  </si>
  <si>
    <t>Bifacial</t>
  </si>
  <si>
    <t>Adjacent</t>
  </si>
  <si>
    <t>Single</t>
  </si>
  <si>
    <t>Unidirection</t>
  </si>
  <si>
    <t>Double</t>
  </si>
  <si>
    <t>sl_wthrd</t>
  </si>
  <si>
    <t>Multifacial</t>
  </si>
  <si>
    <t>Unifacial</t>
  </si>
  <si>
    <t>Cortex_loc</t>
    <phoneticPr fontId="2" type="noConversion"/>
  </si>
  <si>
    <t>term_type</t>
    <phoneticPr fontId="1" type="noConversion"/>
  </si>
  <si>
    <t>butt_type</t>
    <phoneticPr fontId="1" type="noConversion"/>
  </si>
  <si>
    <t>butt_wid</t>
    <phoneticPr fontId="1" type="noConversion"/>
  </si>
  <si>
    <t>butt_dep</t>
    <phoneticPr fontId="1" type="noConversion"/>
  </si>
  <si>
    <t>IPA</t>
    <phoneticPr fontId="1" type="noConversion"/>
  </si>
  <si>
    <t>EPA</t>
    <phoneticPr fontId="1" type="noConversion"/>
  </si>
  <si>
    <t>n_dors_scar</t>
    <phoneticPr fontId="1" type="noConversion"/>
  </si>
  <si>
    <t>tech_type</t>
    <phoneticPr fontId="1" type="noConversion"/>
  </si>
  <si>
    <t>brk_type</t>
    <phoneticPr fontId="2" type="noConversion"/>
  </si>
  <si>
    <t>Sub_type</t>
    <phoneticPr fontId="2" type="noConversion"/>
  </si>
  <si>
    <t>ret_dir</t>
    <phoneticPr fontId="1" type="noConversion"/>
  </si>
  <si>
    <t>ret_loc</t>
    <phoneticPr fontId="1" type="noConversion"/>
  </si>
  <si>
    <t>edge_ang</t>
    <phoneticPr fontId="1" type="noConversion"/>
  </si>
  <si>
    <t xml:space="preserve">	scar_lyr</t>
    <phoneticPr fontId="1" type="noConversion"/>
  </si>
  <si>
    <t>n_scar</t>
    <phoneticPr fontId="1" type="noConversion"/>
  </si>
  <si>
    <t>R6</t>
    <phoneticPr fontId="1" type="noConversion"/>
  </si>
  <si>
    <t>R3</t>
    <phoneticPr fontId="1" type="noConversion"/>
  </si>
  <si>
    <t>Cuvature</t>
    <phoneticPr fontId="1" type="noConversion"/>
  </si>
  <si>
    <t>Tool_type</t>
    <phoneticPr fontId="1" type="noConversion"/>
  </si>
  <si>
    <t>ID</t>
    <phoneticPr fontId="2" type="noConversion"/>
  </si>
  <si>
    <t>24GLD-2-12</t>
  </si>
  <si>
    <t>24GLD-3-36</t>
  </si>
  <si>
    <t>24GLD-3-44</t>
  </si>
  <si>
    <t>24GLD-3-172</t>
  </si>
  <si>
    <t>24GLD-2-8</t>
  </si>
  <si>
    <t>24GLD-2-41</t>
  </si>
  <si>
    <t>24GLD-3-32</t>
  </si>
  <si>
    <t>24GLD-3-55</t>
  </si>
  <si>
    <t>24GLD-3-80</t>
  </si>
  <si>
    <t>24GLD-2-1</t>
  </si>
  <si>
    <t>24GLD-2-4</t>
  </si>
  <si>
    <t>24GLD-2-7</t>
  </si>
  <si>
    <t>24GLD-3-15</t>
  </si>
  <si>
    <t>24GLD-2-28</t>
  </si>
  <si>
    <t>Trench</t>
    <phoneticPr fontId="2" type="noConversion"/>
  </si>
  <si>
    <t>T1</t>
  </si>
  <si>
    <t>T2</t>
  </si>
  <si>
    <t>T3</t>
  </si>
  <si>
    <t>Core</t>
    <phoneticPr fontId="1" type="noConversion"/>
  </si>
  <si>
    <t>F1_scar</t>
    <phoneticPr fontId="1" type="noConversion"/>
  </si>
  <si>
    <t>F1_polarity</t>
    <phoneticPr fontId="2" type="noConversion"/>
  </si>
  <si>
    <t>F2_polarity</t>
    <phoneticPr fontId="1" type="noConversion"/>
  </si>
  <si>
    <t>F2_scar</t>
    <phoneticPr fontId="1" type="noConversion"/>
  </si>
  <si>
    <t>B1_type</t>
    <phoneticPr fontId="1" type="noConversion"/>
  </si>
  <si>
    <t>B1_length</t>
    <phoneticPr fontId="1" type="noConversion"/>
  </si>
  <si>
    <t>B1_width</t>
    <phoneticPr fontId="1" type="noConversion"/>
  </si>
  <si>
    <t>B1_perimeter</t>
    <phoneticPr fontId="1" type="noConversion"/>
  </si>
  <si>
    <t>B2_type</t>
    <phoneticPr fontId="1" type="noConversion"/>
  </si>
  <si>
    <t>B2_length</t>
    <phoneticPr fontId="1" type="noConversion"/>
  </si>
  <si>
    <t>B2_width</t>
    <phoneticPr fontId="1" type="noConversion"/>
  </si>
  <si>
    <t>B2_perimeter</t>
    <phoneticPr fontId="1" type="noConversion"/>
  </si>
  <si>
    <t>24GLD-2-12</t>
    <phoneticPr fontId="1" type="noConversion"/>
  </si>
  <si>
    <t>Opposed</t>
  </si>
  <si>
    <t>Opposed_bidirection</t>
  </si>
  <si>
    <t>Opposite</t>
    <phoneticPr fontId="1" type="noConversion"/>
  </si>
  <si>
    <t>Mixed</t>
    <phoneticPr fontId="1" type="noConversion"/>
  </si>
  <si>
    <t>Natural</t>
    <phoneticPr fontId="1" type="noConversion"/>
  </si>
  <si>
    <t>Removal</t>
    <phoneticPr fontId="1" type="noConversion"/>
  </si>
  <si>
    <t>Flake_angle</t>
    <phoneticPr fontId="1" type="noConversion"/>
  </si>
  <si>
    <t>Unifacial_unidirectional</t>
  </si>
  <si>
    <t>Bifacial_multidirection</t>
  </si>
  <si>
    <t>Initial_exploitation</t>
  </si>
  <si>
    <t>Bifacial_unidirectional</t>
  </si>
  <si>
    <t>Multifacial_bidirection</t>
  </si>
  <si>
    <t>Unifacial_exploitation</t>
    <phoneticPr fontId="1" type="noConversion"/>
  </si>
  <si>
    <t>Core_on_flake</t>
    <phoneticPr fontId="1" type="noConversion"/>
  </si>
  <si>
    <t>Typology</t>
    <phoneticPr fontId="2" type="noConversion"/>
  </si>
  <si>
    <t>Techno_organization</t>
    <phoneticPr fontId="2" type="noConversion"/>
  </si>
  <si>
    <t>Bifacial_multidirection</t>
    <phoneticPr fontId="1" type="noConversion"/>
  </si>
  <si>
    <t>Bifacial_exploitation</t>
    <phoneticPr fontId="1" type="noConversion"/>
  </si>
  <si>
    <t>Bipolar_on_anvil</t>
    <phoneticPr fontId="1" type="noConversion"/>
  </si>
  <si>
    <t>Multifacial_exploitation</t>
    <phoneticPr fontId="1" type="noConversion"/>
  </si>
  <si>
    <t>Tot_scar</t>
    <phoneticPr fontId="1" type="noConversion"/>
  </si>
  <si>
    <t>24GLD-2-3</t>
  </si>
  <si>
    <t>24GLD-2-6</t>
  </si>
  <si>
    <t>24GLD-2-10</t>
  </si>
  <si>
    <t>24GLD-2-38</t>
  </si>
  <si>
    <t>24GLD-2-46</t>
  </si>
  <si>
    <t>24GLD-2-52</t>
  </si>
  <si>
    <t>24GLD-3-14</t>
  </si>
  <si>
    <t>24GLD-3-16</t>
  </si>
  <si>
    <t>24GLD-3-18</t>
  </si>
  <si>
    <t>24GLD-3-21</t>
  </si>
  <si>
    <t>24GLD-3-24</t>
  </si>
  <si>
    <t>24GLD-3-28</t>
  </si>
  <si>
    <t>24GLD-3-43</t>
  </si>
  <si>
    <t>24GLD-3-45</t>
  </si>
  <si>
    <t>24GLD-3-46</t>
  </si>
  <si>
    <t>24GLD-3-48</t>
  </si>
  <si>
    <t>24GLD-3-54</t>
  </si>
  <si>
    <t>24GLD-3-57</t>
  </si>
  <si>
    <t>24GLD-3-68</t>
  </si>
  <si>
    <t>24GLD-3-61</t>
  </si>
  <si>
    <t>24GLD-3-62</t>
  </si>
  <si>
    <t>24GLD-3-64</t>
  </si>
  <si>
    <t>24GLD-3-65</t>
  </si>
  <si>
    <t>24GLD-3-67</t>
  </si>
  <si>
    <t>24GLD-3-69</t>
  </si>
  <si>
    <t>24GLD-3-29</t>
  </si>
  <si>
    <t>24GLD-3-30</t>
  </si>
  <si>
    <t>24GLD-3-31</t>
  </si>
  <si>
    <t>24GLD-2-5</t>
  </si>
  <si>
    <t>24GLD-2-9</t>
  </si>
  <si>
    <t>24GLD-2-11</t>
  </si>
  <si>
    <t>24GLD-2-13</t>
  </si>
  <si>
    <t>24GLD-2-15</t>
  </si>
  <si>
    <t>24GLD-3-17</t>
  </si>
  <si>
    <t>24GLD-3-20</t>
  </si>
  <si>
    <t>24GLD-3-22</t>
  </si>
  <si>
    <t>24GLD-3-23</t>
  </si>
  <si>
    <t>24GLD-3-33</t>
  </si>
  <si>
    <t>24GLD-3-34</t>
  </si>
  <si>
    <t>24GLD-3-35</t>
  </si>
  <si>
    <t>24GLD-3-40</t>
  </si>
  <si>
    <t>24GLD-3-50</t>
  </si>
  <si>
    <t>24GLD-3-56</t>
  </si>
  <si>
    <t>24GLD-3-59</t>
  </si>
  <si>
    <t>24GLD-3-70</t>
  </si>
  <si>
    <t>24GLD-3-71</t>
  </si>
  <si>
    <t>24GLD-3-77</t>
  </si>
  <si>
    <t>24GLD-3-79</t>
  </si>
  <si>
    <t>24GLD-3-83</t>
  </si>
  <si>
    <t>24GLD-3-85</t>
  </si>
  <si>
    <t>24GLD-3-86</t>
  </si>
  <si>
    <t>24GLD-3-89</t>
  </si>
  <si>
    <t>24GLD-3-90</t>
  </si>
  <si>
    <t>24GLD-3-91</t>
  </si>
  <si>
    <t>24GLD-3-92</t>
  </si>
  <si>
    <t>24GLD-3-93</t>
  </si>
  <si>
    <t>24GLD-3-95</t>
  </si>
  <si>
    <t>24GLD-3-98</t>
  </si>
  <si>
    <t>24GLD-3-101</t>
  </si>
  <si>
    <t>24GLD-3-103</t>
  </si>
  <si>
    <t>24GLD-3-107</t>
  </si>
  <si>
    <t>24GLD-3-109</t>
  </si>
  <si>
    <t>24GLD-3-111</t>
  </si>
  <si>
    <t>24GLD-3-113</t>
  </si>
  <si>
    <t>24GLD-3-118</t>
  </si>
  <si>
    <t>24GLD-3-137</t>
  </si>
  <si>
    <t>24GLD-3-139</t>
  </si>
  <si>
    <t>24GLD-3-142</t>
  </si>
  <si>
    <t>24GLD-3-147</t>
  </si>
  <si>
    <t>24GLD-3-150</t>
  </si>
  <si>
    <t>24GLD-3-151</t>
  </si>
  <si>
    <t>24GLD-3-152</t>
  </si>
  <si>
    <t>24GLD-3-155</t>
  </si>
  <si>
    <t>24GLD-3-156</t>
  </si>
  <si>
    <t>24GLD-3-157</t>
  </si>
  <si>
    <t>24GLD-3-159</t>
  </si>
  <si>
    <t>24GLD-3-162</t>
  </si>
  <si>
    <t>24GLD-3-163</t>
  </si>
  <si>
    <t>24GLD-3-164</t>
  </si>
  <si>
    <t>24GLD-3-166</t>
  </si>
  <si>
    <t>24GLD-3-168</t>
  </si>
  <si>
    <t>24GLD-3-169</t>
  </si>
  <si>
    <t>24GLD-3-174</t>
  </si>
  <si>
    <t>24GLD-2-2</t>
  </si>
  <si>
    <t>24GLD-2-27</t>
  </si>
  <si>
    <t>24GLD-2-33</t>
  </si>
  <si>
    <t>Complete_flake</t>
  </si>
  <si>
    <t>Toth_type</t>
    <phoneticPr fontId="1" type="noConversion"/>
  </si>
  <si>
    <t>Ⅲ</t>
  </si>
  <si>
    <t>Ⅱ</t>
  </si>
  <si>
    <t>Ⅴ</t>
  </si>
  <si>
    <t>Ⅵ</t>
  </si>
  <si>
    <t>Ⅰ</t>
  </si>
  <si>
    <t>Ⅳ</t>
  </si>
  <si>
    <t>Elongation</t>
    <phoneticPr fontId="1" type="noConversion"/>
  </si>
  <si>
    <t>Thinness</t>
    <phoneticPr fontId="1" type="noConversion"/>
  </si>
  <si>
    <t>24GLD-3-8</t>
  </si>
  <si>
    <t>24GLD-3-19</t>
  </si>
  <si>
    <t>24GLD-3-41</t>
  </si>
  <si>
    <t>24GLD-3-42</t>
  </si>
  <si>
    <t>24GLD-3-58</t>
  </si>
  <si>
    <t>24GLD-3-60</t>
  </si>
  <si>
    <t>24GLD-3-66</t>
  </si>
  <si>
    <t>24GLD-3-25</t>
  </si>
  <si>
    <t>24GLD-3-37</t>
  </si>
  <si>
    <t>24GLD-3-72</t>
  </si>
  <si>
    <t>24GLD-3-74</t>
  </si>
  <si>
    <t>24GLD-3-76</t>
  </si>
  <si>
    <t>24GLD-3-94</t>
  </si>
  <si>
    <t>24GLD-3-110</t>
  </si>
  <si>
    <t>24GLD-3-119</t>
  </si>
  <si>
    <t>24GLD-3-128</t>
  </si>
  <si>
    <t>24GLD-3-140</t>
  </si>
  <si>
    <t>24GLD-3-144</t>
  </si>
  <si>
    <t>24GLD-3-146</t>
  </si>
  <si>
    <t>24GLD-3-153</t>
  </si>
  <si>
    <t>24GLD-3-170</t>
  </si>
  <si>
    <t>Broken_flake</t>
  </si>
  <si>
    <t>24GLD-3-99</t>
  </si>
  <si>
    <t>24GLD-3-143</t>
  </si>
  <si>
    <t>24GLD-3-175</t>
  </si>
  <si>
    <t>GIUR</t>
    <phoneticPr fontId="1" type="noConversion"/>
  </si>
  <si>
    <t>Tool</t>
    <phoneticPr fontId="1" type="noConversion"/>
  </si>
  <si>
    <t>Retouched_flake</t>
    <phoneticPr fontId="1" type="noConversion"/>
  </si>
  <si>
    <t>Hammerstone</t>
    <phoneticPr fontId="1" type="noConversion"/>
  </si>
  <si>
    <t>24GLD-2-35</t>
  </si>
  <si>
    <t>24GLD-2-36</t>
  </si>
  <si>
    <t>24GLD-2-37</t>
  </si>
  <si>
    <t>24GLD-2-39</t>
  </si>
  <si>
    <t>24GLD-2-40</t>
  </si>
  <si>
    <t>24GLD-2-42</t>
  </si>
  <si>
    <t>24GLD-2-43</t>
  </si>
  <si>
    <t>24GLD-2-44</t>
  </si>
  <si>
    <t>24GLD-2-45</t>
  </si>
  <si>
    <t>24GLD-2-47</t>
  </si>
  <si>
    <t>24GLD-2-48</t>
  </si>
  <si>
    <t>24GLD-2-50</t>
  </si>
  <si>
    <t>24GLD-2-51</t>
  </si>
  <si>
    <t>24GLD-2-53</t>
  </si>
  <si>
    <t>24GLD-2-54</t>
  </si>
  <si>
    <t>24GLD-3-13</t>
  </si>
  <si>
    <t>24GLD-3-26</t>
  </si>
  <si>
    <t>24GLD-3-47</t>
  </si>
  <si>
    <t>24GLD-3-51</t>
  </si>
  <si>
    <t>24GLD-3-53</t>
  </si>
  <si>
    <t>24GLD-3-63</t>
  </si>
  <si>
    <t>24GLD-3-27</t>
  </si>
  <si>
    <t>24GLD-3-49</t>
  </si>
  <si>
    <t>24GLD-3-52</t>
  </si>
  <si>
    <t>24GLD-3-73</t>
  </si>
  <si>
    <t>24GLD-3-75</t>
  </si>
  <si>
    <t>24GLD-3-78</t>
  </si>
  <si>
    <t>24GLD-3-81</t>
  </si>
  <si>
    <t>24GLD-3-82</t>
  </si>
  <si>
    <t>24GLD-3-84</t>
  </si>
  <si>
    <t>24GLD-3-87</t>
  </si>
  <si>
    <t>24GLD-3-88</t>
  </si>
  <si>
    <t>24GLD-3-97</t>
  </si>
  <si>
    <t>24GLD-3-100</t>
  </si>
  <si>
    <t>24GLD-3-102</t>
  </si>
  <si>
    <t>24GLD-3-104</t>
  </si>
  <si>
    <t>24GLD-3-105</t>
  </si>
  <si>
    <t>24GLD-3-106</t>
  </si>
  <si>
    <t>24GLD-3-108</t>
  </si>
  <si>
    <t>24GLD-3-112</t>
  </si>
  <si>
    <t>24GLD-3-114</t>
  </si>
  <si>
    <t>24GLD-3-116</t>
  </si>
  <si>
    <t>24GLD-3-117</t>
  </si>
  <si>
    <t>24GLD-3-120</t>
  </si>
  <si>
    <t>24GLD-3-121</t>
  </si>
  <si>
    <t>24GLD-3-122</t>
  </si>
  <si>
    <t>24GLD-3-123</t>
  </si>
  <si>
    <t>24GLD-3-124</t>
  </si>
  <si>
    <t>24GLD-3-125</t>
  </si>
  <si>
    <t>24GLD-3-126</t>
  </si>
  <si>
    <t>24GLD-3-127</t>
  </si>
  <si>
    <t>24GLD-3-129</t>
  </si>
  <si>
    <t>24GLD-3-130</t>
  </si>
  <si>
    <t>24GLD-3-131</t>
  </si>
  <si>
    <t>24GLD-3-132</t>
  </si>
  <si>
    <t>24GLD-3-133</t>
  </si>
  <si>
    <t>24GLD-3-135</t>
  </si>
  <si>
    <t>24GLD-3-141</t>
  </si>
  <si>
    <t>24GLD-3-145</t>
  </si>
  <si>
    <t>24GLD-3-148</t>
  </si>
  <si>
    <t>24GLD-3-149</t>
  </si>
  <si>
    <t>24GLD-3-160</t>
  </si>
  <si>
    <t>24GLD-3-161</t>
  </si>
  <si>
    <t>24GLD-3-167</t>
  </si>
  <si>
    <t>24GLD-3-171</t>
  </si>
  <si>
    <t>24GLD-3-173</t>
  </si>
  <si>
    <t>24GLD-3-177</t>
  </si>
  <si>
    <t>24GLD-2-29</t>
  </si>
  <si>
    <t>24GLD-2-30</t>
  </si>
  <si>
    <t>24GLD-2-31</t>
  </si>
  <si>
    <t>24GLD-2-32</t>
  </si>
  <si>
    <t>24GLD-2-34</t>
  </si>
  <si>
    <t xml:space="preserve">24GLD-S1 </t>
  </si>
  <si>
    <t xml:space="preserve">24GLD-S2 </t>
  </si>
  <si>
    <t>24GLD-S3</t>
  </si>
  <si>
    <t>24GLD-S4</t>
  </si>
  <si>
    <t>24GLD-S5</t>
  </si>
  <si>
    <t>24GLD-S6</t>
  </si>
  <si>
    <t>24GLD-S7</t>
  </si>
  <si>
    <t>24GLD-S8</t>
  </si>
  <si>
    <t>24GLD-S9</t>
  </si>
  <si>
    <t>24GLD-S10</t>
  </si>
  <si>
    <t>24GLD-S11</t>
  </si>
  <si>
    <t>24GLD-S12</t>
  </si>
  <si>
    <t>24GLD-S13</t>
  </si>
  <si>
    <t>24GLD-S14</t>
  </si>
  <si>
    <t>24GLD-S15</t>
  </si>
  <si>
    <t>24GLD-S16</t>
  </si>
  <si>
    <t>24GLD-S17</t>
  </si>
  <si>
    <t>24GLD-S18</t>
  </si>
  <si>
    <t>24GLD-S19</t>
  </si>
  <si>
    <t>24GLD-S20</t>
  </si>
  <si>
    <t>24GLD-S21</t>
  </si>
  <si>
    <t>24GLD-S22</t>
  </si>
  <si>
    <t>24GLD-S23</t>
  </si>
  <si>
    <t>Chunk</t>
  </si>
  <si>
    <t>Chunk</t>
    <phoneticPr fontId="1" type="noConversion"/>
  </si>
  <si>
    <t>22GLD-2-3</t>
  </si>
  <si>
    <t>22GLD-2-4</t>
  </si>
  <si>
    <t>22GLD-2-1</t>
  </si>
  <si>
    <t>22GLD-2-7</t>
  </si>
  <si>
    <t>22GLD-2-9</t>
  </si>
  <si>
    <t>22GLD-2-10</t>
  </si>
  <si>
    <t>22GLD-2-12</t>
  </si>
  <si>
    <t>22GLD-2-17</t>
  </si>
  <si>
    <t>22GLD-2-5</t>
  </si>
  <si>
    <t>22GLD-2-6</t>
  </si>
  <si>
    <t>22GLD-2-8</t>
  </si>
  <si>
    <t>22GLD-2-11</t>
  </si>
  <si>
    <t>22GLD-2-13</t>
  </si>
  <si>
    <t>22GLD-2-14</t>
  </si>
  <si>
    <t>22GLD-2-15</t>
  </si>
  <si>
    <t>22GLD-2-18</t>
  </si>
  <si>
    <t>22GLD-2-19</t>
  </si>
  <si>
    <t>22GLD-2-20</t>
  </si>
  <si>
    <t>22GLD-2-21</t>
  </si>
  <si>
    <t>22GLD-3-3</t>
  </si>
  <si>
    <t>22GLD-3-1</t>
  </si>
  <si>
    <t>22GLD-3-4</t>
  </si>
  <si>
    <t>22GLD-3-18</t>
  </si>
  <si>
    <t>22GLD-3-20</t>
  </si>
  <si>
    <t>22GLD-3-2</t>
  </si>
  <si>
    <t>22GLD-3-6</t>
  </si>
  <si>
    <t>22GLD-3-16</t>
  </si>
  <si>
    <t>22GLD-3-19</t>
  </si>
  <si>
    <t>22GLD-3-5</t>
  </si>
  <si>
    <t>22GLD-3-9</t>
  </si>
  <si>
    <t>22GLD-3-10</t>
  </si>
  <si>
    <t>22GLD-3-14</t>
  </si>
  <si>
    <t>22GLD-3-15</t>
  </si>
  <si>
    <t>22GLD-3-21</t>
  </si>
  <si>
    <t>Cortical</t>
  </si>
  <si>
    <t>Plain</t>
  </si>
  <si>
    <t>Linear</t>
  </si>
  <si>
    <t>Faceted</t>
  </si>
  <si>
    <t>Punctiform</t>
  </si>
  <si>
    <t>Ⅵ</t>
    <phoneticPr fontId="1" type="noConversion"/>
  </si>
  <si>
    <t>Ⅴ</t>
    <phoneticPr fontId="1" type="noConversion"/>
  </si>
  <si>
    <t>Ⅲ</t>
    <phoneticPr fontId="1" type="noConversion"/>
  </si>
  <si>
    <t>Ⅱ</t>
    <phoneticPr fontId="1" type="noConversion"/>
  </si>
  <si>
    <t>Ⅳ</t>
    <phoneticPr fontId="1" type="noConversion"/>
  </si>
  <si>
    <t>Unipolar_flake</t>
    <phoneticPr fontId="1" type="noConversion"/>
  </si>
  <si>
    <t>Bipolar_flake</t>
    <phoneticPr fontId="1" type="noConversion"/>
  </si>
  <si>
    <t>Perpendicular_flake</t>
    <phoneticPr fontId="1" type="noConversion"/>
  </si>
  <si>
    <t>Centripetal_flake</t>
    <phoneticPr fontId="1" type="noConversion"/>
  </si>
  <si>
    <t>Orthogonal_flake</t>
    <phoneticPr fontId="1" type="noConversion"/>
  </si>
  <si>
    <t>Cortical_flake</t>
    <phoneticPr fontId="1" type="noConversion"/>
  </si>
  <si>
    <t>Bipolar_on_anvil_flake</t>
    <phoneticPr fontId="1" type="noConversion"/>
  </si>
  <si>
    <t>Core_edge_removal_flake</t>
    <phoneticPr fontId="1" type="noConversion"/>
  </si>
  <si>
    <t>Kombewa_type_flake</t>
    <phoneticPr fontId="1" type="noConversion"/>
  </si>
  <si>
    <t>Indeterminate_flake</t>
    <phoneticPr fontId="1" type="noConversion"/>
  </si>
  <si>
    <t>Bidirectional_opposite</t>
    <phoneticPr fontId="1" type="noConversion"/>
  </si>
  <si>
    <t>Unidirectional_proximal</t>
    <phoneticPr fontId="1" type="noConversion"/>
  </si>
  <si>
    <t>Centripetal</t>
  </si>
  <si>
    <t>Multidirectional</t>
    <phoneticPr fontId="1" type="noConversion"/>
  </si>
  <si>
    <t>Cortex</t>
    <phoneticPr fontId="1" type="noConversion"/>
  </si>
  <si>
    <t>Indeterminate</t>
  </si>
  <si>
    <t>Kombewa</t>
  </si>
  <si>
    <t>Orthogonal</t>
    <phoneticPr fontId="1" type="noConversion"/>
  </si>
  <si>
    <t>Lateral</t>
    <phoneticPr fontId="1" type="noConversion"/>
  </si>
  <si>
    <t>Dorsal_scar_pattern</t>
    <phoneticPr fontId="1" type="noConversion"/>
  </si>
  <si>
    <t>Fine_sandstone</t>
    <phoneticPr fontId="1" type="noConversion"/>
  </si>
  <si>
    <t>Granite</t>
    <phoneticPr fontId="1" type="noConversion"/>
  </si>
  <si>
    <t>Spilite</t>
    <phoneticPr fontId="1" type="noConversion"/>
  </si>
  <si>
    <t>Andesite</t>
    <phoneticPr fontId="1" type="noConversion"/>
  </si>
  <si>
    <t>Quartz</t>
    <phoneticPr fontId="1" type="noConversion"/>
  </si>
  <si>
    <t>Sandstone</t>
    <phoneticPr fontId="1" type="noConversion"/>
  </si>
  <si>
    <t>Quartzite</t>
    <phoneticPr fontId="1" type="noConversion"/>
  </si>
  <si>
    <t>Spilite</t>
    <phoneticPr fontId="1" type="noConversion"/>
  </si>
  <si>
    <t>Andesite</t>
    <phoneticPr fontId="1" type="noConversion"/>
  </si>
  <si>
    <t>Quartz</t>
    <phoneticPr fontId="1" type="noConversion"/>
  </si>
  <si>
    <t>Granite</t>
    <phoneticPr fontId="1" type="noConversion"/>
  </si>
  <si>
    <t>Fine_sandstone</t>
    <phoneticPr fontId="1" type="noConversion"/>
  </si>
  <si>
    <t>Quartzite</t>
    <phoneticPr fontId="1" type="noConversion"/>
  </si>
  <si>
    <t>Siltstone</t>
    <phoneticPr fontId="1" type="noConversion"/>
  </si>
  <si>
    <t>Trachyte</t>
    <phoneticPr fontId="1" type="noConversion"/>
  </si>
  <si>
    <t>Siliceous_limestone</t>
    <phoneticPr fontId="1" type="noConversion"/>
  </si>
  <si>
    <t>Limestone</t>
    <phoneticPr fontId="1" type="noConversion"/>
  </si>
  <si>
    <t>Chert</t>
    <phoneticPr fontId="1" type="noConversion"/>
  </si>
  <si>
    <t>Chert</t>
    <phoneticPr fontId="1" type="noConversion"/>
  </si>
  <si>
    <t>md_wthrd</t>
  </si>
  <si>
    <t>hi_wthrd</t>
  </si>
  <si>
    <t>Inverse</t>
    <phoneticPr fontId="1" type="noConversion"/>
  </si>
  <si>
    <t>Obverse</t>
    <phoneticPr fontId="1" type="noConversion"/>
  </si>
  <si>
    <t>Distal</t>
    <phoneticPr fontId="1" type="noConversion"/>
  </si>
  <si>
    <t>Proximal</t>
    <phoneticPr fontId="1" type="noConversion"/>
  </si>
  <si>
    <t>Right</t>
    <phoneticPr fontId="1" type="noConversion"/>
  </si>
  <si>
    <t>Scraper</t>
    <phoneticPr fontId="1" type="noConversion"/>
  </si>
  <si>
    <t>Notch</t>
    <phoneticPr fontId="1" type="noConversion"/>
  </si>
  <si>
    <t>Denticulate</t>
    <phoneticPr fontId="1" type="noConversion"/>
  </si>
  <si>
    <t>Complete_flake</t>
    <phoneticPr fontId="1" type="noConversion"/>
  </si>
  <si>
    <t>Unifacial_opposite</t>
    <phoneticPr fontId="1" type="noConversion"/>
  </si>
  <si>
    <t>Initial_exploitation</t>
    <phoneticPr fontId="1" type="noConversion"/>
  </si>
  <si>
    <t>BOA</t>
    <phoneticPr fontId="1" type="noConversion"/>
  </si>
  <si>
    <t>Siret_left</t>
  </si>
  <si>
    <t>Siret_left</t>
    <phoneticPr fontId="1" type="noConversion"/>
  </si>
  <si>
    <t>Siret_right</t>
  </si>
  <si>
    <t>Siret_right</t>
    <phoneticPr fontId="1" type="noConversion"/>
  </si>
  <si>
    <t>Fragment_medial</t>
    <phoneticPr fontId="1" type="noConversion"/>
  </si>
  <si>
    <t>Fragment_proximal</t>
  </si>
  <si>
    <t>Fragment_proximal</t>
    <phoneticPr fontId="1" type="noConversion"/>
  </si>
  <si>
    <t>Fragment_distal</t>
  </si>
  <si>
    <t>Fragment_distal</t>
    <phoneticPr fontId="1" type="noConversion"/>
  </si>
  <si>
    <t>Cobble</t>
    <phoneticPr fontId="1" type="noConversion"/>
  </si>
  <si>
    <t>Flake</t>
    <phoneticPr fontId="1" type="noConversion"/>
  </si>
  <si>
    <t>Tertiary</t>
  </si>
  <si>
    <t>Primary</t>
  </si>
  <si>
    <t>Crescent</t>
  </si>
  <si>
    <t>Distal</t>
  </si>
  <si>
    <t>Distal</t>
    <phoneticPr fontId="1" type="noConversion"/>
  </si>
  <si>
    <t>Central</t>
    <phoneticPr fontId="1" type="noConversion"/>
  </si>
  <si>
    <t>Stepped</t>
  </si>
  <si>
    <t>Stepped</t>
    <phoneticPr fontId="1" type="noConversion"/>
  </si>
  <si>
    <t>Overshot</t>
  </si>
  <si>
    <t>Feathered</t>
  </si>
  <si>
    <t>Pointed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</si>
</sst>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_);[Red]\(0.00\)"/>
    <numFmt numFmtId="177" formatCode="0_);[Red]\(0\)"/>
    <numFmt numFmtId="178" formatCode="0.00_ "/>
    <numFmt numFmtId="179" formatCode="0.0%"/>
  </numFmts>
  <fonts count="6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b/>
      <sz val="11"/>
      <color theme="1"/>
      <name val="MiSans"/>
      <family val="3"/>
      <charset val="134"/>
    </font>
    <font>
      <sz val="11"/>
      <color theme="1"/>
      <name val="MiSans"/>
      <family val="3"/>
      <charset val="134"/>
    </font>
    <font>
      <sz val="11"/>
      <color indexed="8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5" fillId="0" borderId="0">
      <alignment vertical="center"/>
    </xf>
  </cellStyleXfs>
  <cellXfs count="21">
    <xf numFmtId="0" fontId="0" fillId="0" borderId="0" xfId="0">
      <alignment vertical="center"/>
    </xf>
    <xf numFmtId="49" fontId="3" fillId="2" borderId="1" xfId="0" applyNumberFormat="1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176" fontId="3" fillId="2" borderId="1" xfId="0" applyNumberFormat="1" applyFont="1" applyFill="1" applyBorder="1" applyAlignment="1">
      <alignment horizontal="left" vertical="center"/>
    </xf>
    <xf numFmtId="176" fontId="3" fillId="3" borderId="1" xfId="0" applyNumberFormat="1" applyFont="1" applyFill="1" applyBorder="1" applyAlignment="1">
      <alignment horizontal="left" vertical="center"/>
    </xf>
    <xf numFmtId="176" fontId="3" fillId="4" borderId="1" xfId="0" applyNumberFormat="1" applyFont="1" applyFill="1" applyBorder="1" applyAlignment="1">
      <alignment horizontal="left" vertical="center"/>
    </xf>
    <xf numFmtId="177" fontId="3" fillId="2" borderId="1" xfId="0" applyNumberFormat="1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9" fontId="4" fillId="0" borderId="0" xfId="0" applyNumberFormat="1" applyFont="1" applyAlignment="1">
      <alignment horizontal="left" vertical="center"/>
    </xf>
    <xf numFmtId="176" fontId="4" fillId="0" borderId="0" xfId="0" applyNumberFormat="1" applyFont="1" applyAlignment="1">
      <alignment horizontal="left" vertical="center"/>
    </xf>
    <xf numFmtId="0" fontId="4" fillId="0" borderId="0" xfId="0" applyFont="1">
      <alignment vertical="center"/>
    </xf>
    <xf numFmtId="176" fontId="4" fillId="0" borderId="0" xfId="0" applyNumberFormat="1" applyFont="1">
      <alignment vertical="center"/>
    </xf>
    <xf numFmtId="176" fontId="3" fillId="5" borderId="1" xfId="0" applyNumberFormat="1" applyFont="1" applyFill="1" applyBorder="1" applyAlignment="1">
      <alignment horizontal="left" vertical="center"/>
    </xf>
    <xf numFmtId="176" fontId="3" fillId="6" borderId="1" xfId="0" applyNumberFormat="1" applyFont="1" applyFill="1" applyBorder="1" applyAlignment="1">
      <alignment horizontal="left" vertical="center"/>
    </xf>
    <xf numFmtId="179" fontId="3" fillId="2" borderId="1" xfId="0" applyNumberFormat="1" applyFont="1" applyFill="1" applyBorder="1" applyAlignment="1">
      <alignment horizontal="left" vertical="center"/>
    </xf>
    <xf numFmtId="179" fontId="4" fillId="0" borderId="0" xfId="0" applyNumberFormat="1" applyFont="1">
      <alignment vertical="center"/>
    </xf>
    <xf numFmtId="179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178" fontId="3" fillId="2" borderId="1" xfId="0" applyNumberFormat="1" applyFont="1" applyFill="1" applyBorder="1" applyAlignment="1">
      <alignment horizontal="left" vertical="center"/>
    </xf>
    <xf numFmtId="178" fontId="4" fillId="0" borderId="0" xfId="0" applyNumberFormat="1" applyFont="1" applyAlignment="1">
      <alignment horizontal="left" vertical="center"/>
    </xf>
  </cellXfs>
  <cellStyles count="2">
    <cellStyle name="常规" xfId="0" builtinId="0"/>
    <cellStyle name="常规 2" xfId="1" xr:uid="{9DA48A19-E0B0-4EFD-9DD1-051BF7AC46B9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15" row="4">
    <wetp:webextensionref xmlns:r="http://schemas.openxmlformats.org/officeDocument/2006/relationships" r:id="rId1"/>
  </wetp:taskpane>
  <wetp:taskpane dockstate="right" visibility="0" width="438" row="4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30B5FDC4-CFAE-4D98-B77D-6813770B3916}">
  <we:reference id="wa200005502" version="1.0.0.12" store="zh-CN" storeType="OMEX"/>
  <we:alternateReferences>
    <we:reference id="wa200005502" version="1.0.0.12" store="wa200005502" storeType="OMEX"/>
  </we:alternateReferences>
  <we:properties>
    <we:property name="docId" value="&quot;hQLL0XfocjfwkTBN7biw7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E0E772F-B9BF-4966-877C-191B694078D6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dae2ee0e-6436-494d-a109-7e079c17a075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A5CBC-DF5B-40D2-B465-81D526ADB278}">
  <dimension ref="A1:AG17"/>
  <sheetViews>
    <sheetView topLeftCell="P1" zoomScale="130" zoomScaleNormal="130" workbookViewId="0">
      <pane ySplit="1" topLeftCell="A2" activePane="bottomLeft" state="frozen"/>
      <selection pane="bottomLeft" activeCell="AC20" sqref="AC20"/>
    </sheetView>
  </sheetViews>
  <sheetFormatPr defaultColWidth="8.88671875" defaultRowHeight="15" customHeight="1" x14ac:dyDescent="0.25"/>
  <cols>
    <col min="1" max="1" width="13.33203125" style="11" customWidth="1"/>
    <col min="2" max="2" width="7.33203125" style="11" customWidth="1"/>
    <col min="3" max="3" width="5.77734375" style="11" customWidth="1"/>
    <col min="4" max="4" width="11" style="11" customWidth="1"/>
    <col min="5" max="5" width="11.5546875" style="8" customWidth="1"/>
    <col min="6" max="7" width="8.88671875" style="11"/>
    <col min="8" max="8" width="7.77734375" style="16" customWidth="1"/>
    <col min="9" max="9" width="9.21875" style="16" customWidth="1"/>
    <col min="10" max="10" width="9.5546875" style="12" customWidth="1"/>
    <col min="11" max="11" width="8.6640625" style="12" customWidth="1"/>
    <col min="12" max="12" width="9.44140625" style="12" customWidth="1"/>
    <col min="13" max="13" width="9.5546875" style="12" customWidth="1"/>
    <col min="14" max="14" width="9.6640625" style="11" customWidth="1"/>
    <col min="15" max="15" width="9.109375" style="11" customWidth="1"/>
    <col min="16" max="16" width="8.109375" style="11" customWidth="1"/>
    <col min="17" max="17" width="8.77734375" style="11" customWidth="1"/>
    <col min="18" max="18" width="8.109375" style="11" customWidth="1"/>
    <col min="19" max="19" width="13.109375" style="11" customWidth="1"/>
    <col min="20" max="20" width="8" style="11" customWidth="1"/>
    <col min="21" max="21" width="19" style="11" customWidth="1"/>
    <col min="22" max="22" width="8.77734375" style="11" customWidth="1"/>
    <col min="23" max="23" width="9.77734375" style="11" customWidth="1"/>
    <col min="24" max="24" width="9.21875" style="11" customWidth="1"/>
    <col min="25" max="25" width="12.88671875" style="11" customWidth="1"/>
    <col min="26" max="26" width="8.88671875" style="11" customWidth="1"/>
    <col min="27" max="27" width="10.109375" style="11" customWidth="1"/>
    <col min="28" max="28" width="9.44140625" style="11" customWidth="1"/>
    <col min="29" max="29" width="13.21875" style="11" customWidth="1"/>
    <col min="30" max="30" width="11.44140625" style="11" customWidth="1"/>
    <col min="31" max="31" width="8.77734375" style="11" customWidth="1"/>
    <col min="32" max="33" width="21.44140625" style="11" customWidth="1"/>
    <col min="34" max="16384" width="8.88671875" style="11"/>
  </cols>
  <sheetData>
    <row r="1" spans="1:33" s="8" customFormat="1" ht="15" customHeight="1" x14ac:dyDescent="0.25">
      <c r="A1" s="1" t="s">
        <v>44</v>
      </c>
      <c r="B1" s="2" t="s">
        <v>59</v>
      </c>
      <c r="C1" s="2" t="s">
        <v>0</v>
      </c>
      <c r="D1" s="2" t="s">
        <v>1</v>
      </c>
      <c r="E1" s="2" t="s">
        <v>2</v>
      </c>
      <c r="F1" s="2" t="s">
        <v>3</v>
      </c>
      <c r="G1" s="3" t="s">
        <v>4</v>
      </c>
      <c r="H1" s="15" t="s">
        <v>5</v>
      </c>
      <c r="I1" s="15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5" t="s">
        <v>64</v>
      </c>
      <c r="S1" s="5" t="s">
        <v>65</v>
      </c>
      <c r="T1" s="14" t="s">
        <v>67</v>
      </c>
      <c r="U1" s="14" t="s">
        <v>66</v>
      </c>
      <c r="V1" s="6" t="s">
        <v>68</v>
      </c>
      <c r="W1" s="6" t="s">
        <v>69</v>
      </c>
      <c r="X1" s="6" t="s">
        <v>70</v>
      </c>
      <c r="Y1" s="6" t="s">
        <v>71</v>
      </c>
      <c r="Z1" s="13" t="s">
        <v>72</v>
      </c>
      <c r="AA1" s="13" t="s">
        <v>73</v>
      </c>
      <c r="AB1" s="13" t="s">
        <v>74</v>
      </c>
      <c r="AC1" s="13" t="s">
        <v>75</v>
      </c>
      <c r="AD1" s="4" t="s">
        <v>83</v>
      </c>
      <c r="AE1" s="7" t="s">
        <v>97</v>
      </c>
      <c r="AF1" s="2" t="s">
        <v>92</v>
      </c>
      <c r="AG1" s="2" t="s">
        <v>91</v>
      </c>
    </row>
    <row r="2" spans="1:33" ht="15" customHeight="1" x14ac:dyDescent="0.25">
      <c r="A2" s="8" t="s">
        <v>320</v>
      </c>
      <c r="B2" s="8" t="s">
        <v>60</v>
      </c>
      <c r="C2" s="8">
        <v>2</v>
      </c>
      <c r="D2" s="8" t="s">
        <v>386</v>
      </c>
      <c r="E2" s="8" t="s">
        <v>21</v>
      </c>
      <c r="F2" s="8" t="s">
        <v>63</v>
      </c>
      <c r="G2" s="8" t="s">
        <v>319</v>
      </c>
      <c r="H2" s="17">
        <v>0.4</v>
      </c>
      <c r="I2" s="17">
        <v>0.2</v>
      </c>
      <c r="J2" s="10">
        <v>62.2</v>
      </c>
      <c r="K2" s="10">
        <v>42</v>
      </c>
      <c r="L2" s="10">
        <v>38.9</v>
      </c>
      <c r="M2" s="10">
        <v>111.1</v>
      </c>
      <c r="N2" s="8" t="s">
        <v>23</v>
      </c>
      <c r="O2" s="8"/>
      <c r="P2" s="8" t="s">
        <v>18</v>
      </c>
      <c r="Q2" s="8"/>
      <c r="R2" s="8">
        <v>2</v>
      </c>
      <c r="S2" s="8" t="s">
        <v>19</v>
      </c>
      <c r="T2" s="8"/>
      <c r="U2" s="8"/>
      <c r="V2" s="8" t="s">
        <v>80</v>
      </c>
      <c r="W2" s="8">
        <v>41.5</v>
      </c>
      <c r="X2" s="8">
        <v>65.7</v>
      </c>
      <c r="Y2" s="8">
        <v>193</v>
      </c>
      <c r="Z2" s="8"/>
      <c r="AA2" s="8"/>
      <c r="AB2" s="8"/>
      <c r="AC2" s="8"/>
      <c r="AD2" s="8">
        <v>78</v>
      </c>
      <c r="AE2" s="8">
        <f>R2+T2</f>
        <v>2</v>
      </c>
      <c r="AF2" s="11" t="s">
        <v>84</v>
      </c>
      <c r="AG2" s="8" t="s">
        <v>89</v>
      </c>
    </row>
    <row r="3" spans="1:33" ht="15" customHeight="1" x14ac:dyDescent="0.25">
      <c r="A3" s="8" t="s">
        <v>321</v>
      </c>
      <c r="B3" s="8" t="s">
        <v>60</v>
      </c>
      <c r="C3" s="8">
        <v>2</v>
      </c>
      <c r="D3" s="8" t="s">
        <v>387</v>
      </c>
      <c r="E3" s="8" t="s">
        <v>21</v>
      </c>
      <c r="F3" s="8" t="s">
        <v>63</v>
      </c>
      <c r="G3" s="8" t="s">
        <v>319</v>
      </c>
      <c r="H3" s="17">
        <v>0.1</v>
      </c>
      <c r="I3" s="17">
        <v>0.1</v>
      </c>
      <c r="J3" s="10">
        <v>51.1</v>
      </c>
      <c r="K3" s="10">
        <v>36.700000000000003</v>
      </c>
      <c r="L3" s="10">
        <v>26.4</v>
      </c>
      <c r="M3" s="10">
        <v>48.75</v>
      </c>
      <c r="N3" s="8" t="s">
        <v>16</v>
      </c>
      <c r="O3" s="8" t="s">
        <v>17</v>
      </c>
      <c r="P3" s="18" t="s">
        <v>20</v>
      </c>
      <c r="Q3" s="18" t="s">
        <v>17</v>
      </c>
      <c r="R3" s="8">
        <v>3</v>
      </c>
      <c r="S3" s="8" t="s">
        <v>19</v>
      </c>
      <c r="T3" s="8">
        <v>1</v>
      </c>
      <c r="U3" s="18"/>
      <c r="V3" s="8" t="s">
        <v>82</v>
      </c>
      <c r="W3" s="8">
        <v>22.4</v>
      </c>
      <c r="X3" s="8">
        <v>46.4</v>
      </c>
      <c r="Y3" s="8">
        <v>114</v>
      </c>
      <c r="Z3" s="8" t="s">
        <v>82</v>
      </c>
      <c r="AA3" s="8">
        <v>38</v>
      </c>
      <c r="AB3" s="8">
        <v>35</v>
      </c>
      <c r="AC3" s="8">
        <v>128</v>
      </c>
      <c r="AD3" s="8">
        <v>82</v>
      </c>
      <c r="AE3" s="8">
        <f t="shared" ref="AE3:AE16" si="0">R3+T3</f>
        <v>4</v>
      </c>
      <c r="AF3" s="11" t="s">
        <v>93</v>
      </c>
      <c r="AG3" s="8" t="s">
        <v>94</v>
      </c>
    </row>
    <row r="4" spans="1:33" ht="15" customHeight="1" x14ac:dyDescent="0.25">
      <c r="A4" s="8" t="s">
        <v>76</v>
      </c>
      <c r="B4" s="8" t="s">
        <v>60</v>
      </c>
      <c r="C4" s="8">
        <v>2</v>
      </c>
      <c r="D4" s="8" t="s">
        <v>401</v>
      </c>
      <c r="E4" s="8" t="s">
        <v>21</v>
      </c>
      <c r="F4" s="8" t="s">
        <v>63</v>
      </c>
      <c r="G4" s="8" t="s">
        <v>319</v>
      </c>
      <c r="H4" s="17">
        <v>0.2</v>
      </c>
      <c r="I4" s="17">
        <v>0.2</v>
      </c>
      <c r="J4" s="10">
        <v>55.3</v>
      </c>
      <c r="K4" s="10">
        <v>38.200000000000003</v>
      </c>
      <c r="L4" s="10">
        <v>31.8</v>
      </c>
      <c r="M4" s="10">
        <v>43.01</v>
      </c>
      <c r="N4" s="8" t="s">
        <v>23</v>
      </c>
      <c r="O4" s="8"/>
      <c r="P4" s="8" t="s">
        <v>18</v>
      </c>
      <c r="Q4" s="8"/>
      <c r="R4" s="8">
        <v>3</v>
      </c>
      <c r="S4" s="8" t="s">
        <v>19</v>
      </c>
      <c r="T4" s="8"/>
      <c r="U4" s="8"/>
      <c r="V4" s="8" t="s">
        <v>81</v>
      </c>
      <c r="W4" s="8">
        <v>35.4</v>
      </c>
      <c r="X4" s="8">
        <v>36.299999999999997</v>
      </c>
      <c r="Y4" s="8">
        <v>120</v>
      </c>
      <c r="Z4" s="8"/>
      <c r="AA4" s="8"/>
      <c r="AB4" s="8"/>
      <c r="AC4" s="8"/>
      <c r="AD4" s="8">
        <v>79</v>
      </c>
      <c r="AE4" s="8">
        <f t="shared" si="0"/>
        <v>3</v>
      </c>
      <c r="AF4" s="11" t="s">
        <v>84</v>
      </c>
      <c r="AG4" s="8" t="s">
        <v>89</v>
      </c>
    </row>
    <row r="5" spans="1:33" ht="15" customHeight="1" x14ac:dyDescent="0.25">
      <c r="A5" s="8" t="s">
        <v>46</v>
      </c>
      <c r="B5" s="8" t="s">
        <v>60</v>
      </c>
      <c r="C5" s="8">
        <v>3</v>
      </c>
      <c r="D5" s="8" t="s">
        <v>388</v>
      </c>
      <c r="E5" s="8" t="s">
        <v>15</v>
      </c>
      <c r="F5" s="8" t="s">
        <v>63</v>
      </c>
      <c r="G5" s="8" t="s">
        <v>319</v>
      </c>
      <c r="H5" s="17">
        <v>0</v>
      </c>
      <c r="I5" s="17">
        <v>0.1</v>
      </c>
      <c r="J5" s="10">
        <v>20.9</v>
      </c>
      <c r="K5" s="10">
        <v>19.399999999999999</v>
      </c>
      <c r="L5" s="10">
        <v>10.9</v>
      </c>
      <c r="M5" s="10">
        <v>4.08</v>
      </c>
      <c r="N5" s="18" t="s">
        <v>16</v>
      </c>
      <c r="O5" s="18" t="s">
        <v>17</v>
      </c>
      <c r="P5" s="18" t="s">
        <v>20</v>
      </c>
      <c r="Q5" s="18" t="s">
        <v>17</v>
      </c>
      <c r="R5" s="8">
        <v>2</v>
      </c>
      <c r="S5" s="8" t="s">
        <v>19</v>
      </c>
      <c r="T5" s="8">
        <v>1</v>
      </c>
      <c r="U5" s="8"/>
      <c r="V5" s="8" t="s">
        <v>82</v>
      </c>
      <c r="W5" s="8">
        <v>19.5</v>
      </c>
      <c r="X5" s="8">
        <v>10.1</v>
      </c>
      <c r="Y5" s="8">
        <v>46</v>
      </c>
      <c r="Z5" s="8" t="s">
        <v>82</v>
      </c>
      <c r="AA5" s="8">
        <v>23</v>
      </c>
      <c r="AB5" s="8">
        <v>19</v>
      </c>
      <c r="AC5" s="8">
        <v>66</v>
      </c>
      <c r="AD5" s="8">
        <v>77</v>
      </c>
      <c r="AE5" s="8">
        <f t="shared" si="0"/>
        <v>3</v>
      </c>
      <c r="AF5" s="11" t="s">
        <v>85</v>
      </c>
      <c r="AG5" s="8" t="s">
        <v>94</v>
      </c>
    </row>
    <row r="6" spans="1:33" ht="15" customHeight="1" x14ac:dyDescent="0.25">
      <c r="A6" s="8" t="s">
        <v>47</v>
      </c>
      <c r="B6" s="8" t="s">
        <v>60</v>
      </c>
      <c r="C6" s="8">
        <v>3</v>
      </c>
      <c r="D6" s="8" t="s">
        <v>387</v>
      </c>
      <c r="E6" s="8" t="s">
        <v>21</v>
      </c>
      <c r="F6" s="8" t="s">
        <v>63</v>
      </c>
      <c r="G6" s="8" t="s">
        <v>426</v>
      </c>
      <c r="H6" s="17">
        <v>0.3</v>
      </c>
      <c r="I6" s="17">
        <v>0</v>
      </c>
      <c r="J6" s="10">
        <v>52.6</v>
      </c>
      <c r="K6" s="10">
        <v>36.700000000000003</v>
      </c>
      <c r="L6" s="10">
        <v>22.8</v>
      </c>
      <c r="M6" s="10">
        <v>35.78</v>
      </c>
      <c r="N6" s="8" t="s">
        <v>23</v>
      </c>
      <c r="O6" s="8"/>
      <c r="P6" s="8" t="s">
        <v>18</v>
      </c>
      <c r="Q6" s="8"/>
      <c r="R6" s="8">
        <v>1</v>
      </c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>
        <v>76</v>
      </c>
      <c r="AE6" s="8">
        <f t="shared" si="0"/>
        <v>1</v>
      </c>
      <c r="AF6" s="11" t="s">
        <v>86</v>
      </c>
      <c r="AG6" s="11" t="s">
        <v>415</v>
      </c>
    </row>
    <row r="7" spans="1:33" ht="15" customHeight="1" x14ac:dyDescent="0.25">
      <c r="A7" s="8" t="s">
        <v>48</v>
      </c>
      <c r="B7" s="8" t="s">
        <v>61</v>
      </c>
      <c r="C7" s="8">
        <v>3</v>
      </c>
      <c r="D7" s="8" t="s">
        <v>386</v>
      </c>
      <c r="E7" s="8" t="s">
        <v>15</v>
      </c>
      <c r="F7" s="8" t="s">
        <v>63</v>
      </c>
      <c r="G7" s="8" t="s">
        <v>319</v>
      </c>
      <c r="H7" s="17">
        <v>0.3</v>
      </c>
      <c r="I7" s="17">
        <v>0</v>
      </c>
      <c r="J7" s="10">
        <v>33.1</v>
      </c>
      <c r="K7" s="10">
        <v>22.2</v>
      </c>
      <c r="L7" s="10">
        <v>18.600000000000001</v>
      </c>
      <c r="M7" s="10">
        <v>7.72</v>
      </c>
      <c r="N7" s="8" t="s">
        <v>16</v>
      </c>
      <c r="O7" s="8" t="s">
        <v>17</v>
      </c>
      <c r="P7" s="8" t="s">
        <v>18</v>
      </c>
      <c r="Q7" s="8"/>
      <c r="R7" s="8">
        <v>3</v>
      </c>
      <c r="S7" s="8" t="s">
        <v>19</v>
      </c>
      <c r="T7" s="8"/>
      <c r="U7" s="8"/>
      <c r="V7" s="8" t="s">
        <v>81</v>
      </c>
      <c r="W7" s="8">
        <v>32.1</v>
      </c>
      <c r="X7" s="8">
        <v>16.8</v>
      </c>
      <c r="Y7" s="8">
        <v>81</v>
      </c>
      <c r="Z7" s="8"/>
      <c r="AA7" s="8"/>
      <c r="AB7" s="8"/>
      <c r="AC7" s="8"/>
      <c r="AD7" s="8">
        <v>75</v>
      </c>
      <c r="AE7" s="8">
        <f t="shared" si="0"/>
        <v>3</v>
      </c>
      <c r="AF7" s="11" t="s">
        <v>87</v>
      </c>
      <c r="AG7" s="8" t="s">
        <v>94</v>
      </c>
    </row>
    <row r="8" spans="1:33" ht="15" customHeight="1" x14ac:dyDescent="0.25">
      <c r="A8" s="8" t="s">
        <v>49</v>
      </c>
      <c r="B8" s="8" t="s">
        <v>61</v>
      </c>
      <c r="C8" s="8">
        <v>2</v>
      </c>
      <c r="D8" s="8" t="s">
        <v>386</v>
      </c>
      <c r="E8" s="8" t="s">
        <v>21</v>
      </c>
      <c r="F8" s="8" t="s">
        <v>63</v>
      </c>
      <c r="G8" s="8" t="s">
        <v>426</v>
      </c>
      <c r="H8" s="17">
        <v>0.7</v>
      </c>
      <c r="I8" s="17">
        <v>0</v>
      </c>
      <c r="J8" s="10">
        <v>73.7</v>
      </c>
      <c r="K8" s="10">
        <v>63.5</v>
      </c>
      <c r="L8" s="10">
        <v>37.799999999999997</v>
      </c>
      <c r="M8" s="10">
        <v>260</v>
      </c>
      <c r="N8" s="8" t="s">
        <v>23</v>
      </c>
      <c r="O8" s="8"/>
      <c r="P8" s="8" t="s">
        <v>20</v>
      </c>
      <c r="Q8" s="8" t="s">
        <v>77</v>
      </c>
      <c r="R8" s="8">
        <v>1</v>
      </c>
      <c r="S8" s="8"/>
      <c r="T8" s="8">
        <v>1</v>
      </c>
      <c r="U8" s="8"/>
      <c r="V8" s="8" t="s">
        <v>81</v>
      </c>
      <c r="W8" s="8">
        <v>45.7</v>
      </c>
      <c r="X8" s="8">
        <v>70</v>
      </c>
      <c r="Y8" s="8">
        <v>187</v>
      </c>
      <c r="Z8" s="8" t="s">
        <v>81</v>
      </c>
      <c r="AA8" s="8">
        <v>50.8</v>
      </c>
      <c r="AB8" s="8">
        <v>66.900000000000006</v>
      </c>
      <c r="AC8" s="8">
        <v>203</v>
      </c>
      <c r="AD8" s="8">
        <v>69.5</v>
      </c>
      <c r="AE8" s="8">
        <f t="shared" si="0"/>
        <v>2</v>
      </c>
      <c r="AF8" s="11" t="s">
        <v>414</v>
      </c>
      <c r="AG8" s="8" t="s">
        <v>89</v>
      </c>
    </row>
    <row r="9" spans="1:33" ht="15" customHeight="1" x14ac:dyDescent="0.25">
      <c r="A9" s="8" t="s">
        <v>50</v>
      </c>
      <c r="B9" s="8" t="s">
        <v>61</v>
      </c>
      <c r="C9" s="8">
        <v>2</v>
      </c>
      <c r="D9" s="8" t="s">
        <v>386</v>
      </c>
      <c r="E9" s="8" t="s">
        <v>15</v>
      </c>
      <c r="F9" s="8" t="s">
        <v>63</v>
      </c>
      <c r="G9" s="8" t="s">
        <v>426</v>
      </c>
      <c r="H9" s="17">
        <v>0.6</v>
      </c>
      <c r="I9" s="17">
        <v>0</v>
      </c>
      <c r="J9" s="10">
        <v>147.6</v>
      </c>
      <c r="K9" s="10">
        <v>112.4</v>
      </c>
      <c r="L9" s="10">
        <v>57.5</v>
      </c>
      <c r="M9" s="10">
        <v>1246.4000000000001</v>
      </c>
      <c r="N9" s="8" t="s">
        <v>16</v>
      </c>
      <c r="O9" s="8" t="s">
        <v>17</v>
      </c>
      <c r="P9" s="8" t="s">
        <v>18</v>
      </c>
      <c r="Q9" s="8"/>
      <c r="R9" s="8">
        <v>5</v>
      </c>
      <c r="S9" s="8" t="s">
        <v>19</v>
      </c>
      <c r="T9" s="8"/>
      <c r="U9" s="8"/>
      <c r="V9" s="8" t="s">
        <v>81</v>
      </c>
      <c r="W9" s="8">
        <v>141.30000000000001</v>
      </c>
      <c r="X9" s="8">
        <v>111.8</v>
      </c>
      <c r="Y9" s="8">
        <v>396</v>
      </c>
      <c r="Z9" s="8"/>
      <c r="AA9" s="8"/>
      <c r="AB9" s="8"/>
      <c r="AC9" s="8"/>
      <c r="AD9" s="8">
        <v>76</v>
      </c>
      <c r="AE9" s="8">
        <f t="shared" si="0"/>
        <v>5</v>
      </c>
      <c r="AF9" s="11" t="s">
        <v>87</v>
      </c>
      <c r="AG9" s="8" t="s">
        <v>94</v>
      </c>
    </row>
    <row r="10" spans="1:33" ht="15" customHeight="1" x14ac:dyDescent="0.25">
      <c r="A10" s="8" t="s">
        <v>51</v>
      </c>
      <c r="B10" s="8" t="s">
        <v>61</v>
      </c>
      <c r="C10" s="8">
        <v>3</v>
      </c>
      <c r="D10" s="8" t="s">
        <v>386</v>
      </c>
      <c r="E10" s="8" t="s">
        <v>15</v>
      </c>
      <c r="F10" s="8" t="s">
        <v>63</v>
      </c>
      <c r="G10" s="8" t="s">
        <v>426</v>
      </c>
      <c r="H10" s="17">
        <v>0.7</v>
      </c>
      <c r="I10" s="17">
        <v>0</v>
      </c>
      <c r="J10" s="10">
        <v>90.2</v>
      </c>
      <c r="K10" s="10">
        <v>58</v>
      </c>
      <c r="L10" s="10">
        <v>41.1</v>
      </c>
      <c r="M10" s="10">
        <v>158.01</v>
      </c>
      <c r="N10" s="8" t="s">
        <v>23</v>
      </c>
      <c r="O10" s="8"/>
      <c r="P10" s="8" t="s">
        <v>18</v>
      </c>
      <c r="Q10" s="8"/>
      <c r="R10" s="8">
        <v>3</v>
      </c>
      <c r="S10" s="8" t="s">
        <v>19</v>
      </c>
      <c r="T10" s="8"/>
      <c r="U10" s="8"/>
      <c r="V10" s="8" t="s">
        <v>81</v>
      </c>
      <c r="W10" s="8">
        <v>67.5</v>
      </c>
      <c r="X10" s="8">
        <v>55.7</v>
      </c>
      <c r="Y10" s="8">
        <v>192</v>
      </c>
      <c r="Z10" s="8"/>
      <c r="AA10" s="8"/>
      <c r="AB10" s="8"/>
      <c r="AC10" s="8"/>
      <c r="AD10" s="8">
        <v>68</v>
      </c>
      <c r="AE10" s="8">
        <f t="shared" si="0"/>
        <v>3</v>
      </c>
      <c r="AF10" s="11" t="s">
        <v>84</v>
      </c>
      <c r="AG10" s="8" t="s">
        <v>89</v>
      </c>
    </row>
    <row r="11" spans="1:33" ht="15" customHeight="1" x14ac:dyDescent="0.25">
      <c r="A11" s="8" t="s">
        <v>52</v>
      </c>
      <c r="B11" s="8" t="s">
        <v>61</v>
      </c>
      <c r="C11" s="8">
        <v>3</v>
      </c>
      <c r="D11" s="8" t="s">
        <v>401</v>
      </c>
      <c r="E11" s="8" t="s">
        <v>15</v>
      </c>
      <c r="F11" s="8" t="s">
        <v>63</v>
      </c>
      <c r="G11" s="8" t="s">
        <v>426</v>
      </c>
      <c r="H11" s="17">
        <v>0.3</v>
      </c>
      <c r="I11" s="17">
        <v>0.2</v>
      </c>
      <c r="J11" s="10">
        <v>37.799999999999997</v>
      </c>
      <c r="K11" s="10">
        <v>24.2</v>
      </c>
      <c r="L11" s="10">
        <v>15.7</v>
      </c>
      <c r="M11" s="10">
        <v>16.88</v>
      </c>
      <c r="N11" s="8" t="s">
        <v>16</v>
      </c>
      <c r="O11" s="8" t="s">
        <v>79</v>
      </c>
      <c r="P11" s="8" t="s">
        <v>20</v>
      </c>
      <c r="Q11" s="8" t="s">
        <v>17</v>
      </c>
      <c r="R11" s="8">
        <v>1</v>
      </c>
      <c r="S11" s="8" t="s">
        <v>19</v>
      </c>
      <c r="T11" s="8">
        <v>1</v>
      </c>
      <c r="U11" s="8"/>
      <c r="V11" s="8" t="s">
        <v>82</v>
      </c>
      <c r="W11" s="8">
        <v>21.6</v>
      </c>
      <c r="X11" s="8">
        <v>15</v>
      </c>
      <c r="Y11" s="8">
        <v>69</v>
      </c>
      <c r="Z11" s="8" t="s">
        <v>80</v>
      </c>
      <c r="AA11" s="8">
        <v>35.9</v>
      </c>
      <c r="AB11" s="8">
        <v>31.5</v>
      </c>
      <c r="AC11" s="8">
        <v>110</v>
      </c>
      <c r="AD11" s="8">
        <v>68.5</v>
      </c>
      <c r="AE11" s="8">
        <f t="shared" si="0"/>
        <v>2</v>
      </c>
      <c r="AF11" s="11" t="s">
        <v>85</v>
      </c>
      <c r="AG11" s="8" t="s">
        <v>94</v>
      </c>
    </row>
    <row r="12" spans="1:33" ht="15" customHeight="1" x14ac:dyDescent="0.25">
      <c r="A12" s="8" t="s">
        <v>53</v>
      </c>
      <c r="B12" s="8" t="s">
        <v>61</v>
      </c>
      <c r="C12" s="8">
        <v>3</v>
      </c>
      <c r="D12" s="8" t="s">
        <v>401</v>
      </c>
      <c r="E12" s="8" t="s">
        <v>15</v>
      </c>
      <c r="F12" s="8" t="s">
        <v>63</v>
      </c>
      <c r="G12" s="8" t="s">
        <v>427</v>
      </c>
      <c r="H12" s="17">
        <v>0</v>
      </c>
      <c r="I12" s="17">
        <v>0.1</v>
      </c>
      <c r="J12" s="10">
        <v>34.200000000000003</v>
      </c>
      <c r="K12" s="10">
        <v>40.6</v>
      </c>
      <c r="L12" s="10">
        <v>16.5</v>
      </c>
      <c r="M12" s="10">
        <v>19.57</v>
      </c>
      <c r="N12" s="8" t="s">
        <v>23</v>
      </c>
      <c r="O12" s="8"/>
      <c r="P12" s="8" t="s">
        <v>18</v>
      </c>
      <c r="Q12" s="8"/>
      <c r="R12" s="8">
        <v>2</v>
      </c>
      <c r="S12" s="8" t="s">
        <v>19</v>
      </c>
      <c r="T12" s="8"/>
      <c r="U12" s="8"/>
      <c r="V12" s="8" t="s">
        <v>82</v>
      </c>
      <c r="W12" s="8">
        <v>30.5</v>
      </c>
      <c r="X12" s="8">
        <v>37.1</v>
      </c>
      <c r="Y12" s="8">
        <v>114</v>
      </c>
      <c r="Z12" s="8"/>
      <c r="AA12" s="8"/>
      <c r="AB12" s="8"/>
      <c r="AC12" s="8"/>
      <c r="AD12" s="8">
        <v>78</v>
      </c>
      <c r="AE12" s="8">
        <f t="shared" si="0"/>
        <v>2</v>
      </c>
      <c r="AF12" s="11" t="s">
        <v>84</v>
      </c>
      <c r="AG12" s="8" t="s">
        <v>90</v>
      </c>
    </row>
    <row r="13" spans="1:33" ht="15" customHeight="1" x14ac:dyDescent="0.25">
      <c r="A13" s="8" t="s">
        <v>54</v>
      </c>
      <c r="B13" s="8" t="s">
        <v>62</v>
      </c>
      <c r="C13" s="8">
        <v>2</v>
      </c>
      <c r="D13" s="8" t="s">
        <v>386</v>
      </c>
      <c r="E13" s="8" t="s">
        <v>21</v>
      </c>
      <c r="F13" s="8" t="s">
        <v>63</v>
      </c>
      <c r="G13" s="8" t="s">
        <v>426</v>
      </c>
      <c r="H13" s="17">
        <v>0.5</v>
      </c>
      <c r="I13" s="17">
        <v>0.2</v>
      </c>
      <c r="J13" s="10">
        <v>71.900000000000006</v>
      </c>
      <c r="K13" s="10">
        <v>56.5</v>
      </c>
      <c r="L13" s="10">
        <v>35.700000000000003</v>
      </c>
      <c r="M13" s="10">
        <v>186</v>
      </c>
      <c r="N13" s="18" t="s">
        <v>16</v>
      </c>
      <c r="O13" s="18" t="s">
        <v>17</v>
      </c>
      <c r="P13" s="18" t="s">
        <v>20</v>
      </c>
      <c r="Q13" s="18" t="s">
        <v>17</v>
      </c>
      <c r="R13" s="8">
        <v>1</v>
      </c>
      <c r="S13" s="8"/>
      <c r="T13" s="8">
        <v>1</v>
      </c>
      <c r="U13" s="8"/>
      <c r="V13" s="8" t="s">
        <v>81</v>
      </c>
      <c r="W13" s="8">
        <v>48.1</v>
      </c>
      <c r="X13" s="8">
        <v>63.1</v>
      </c>
      <c r="Y13" s="8">
        <v>206</v>
      </c>
      <c r="Z13" s="8" t="s">
        <v>82</v>
      </c>
      <c r="AA13" s="8">
        <v>34.4</v>
      </c>
      <c r="AB13" s="8">
        <v>39.299999999999997</v>
      </c>
      <c r="AC13" s="8">
        <v>130</v>
      </c>
      <c r="AD13" s="8">
        <v>75</v>
      </c>
      <c r="AE13" s="8">
        <f t="shared" si="0"/>
        <v>2</v>
      </c>
      <c r="AF13" s="11" t="s">
        <v>85</v>
      </c>
      <c r="AG13" s="8" t="s">
        <v>94</v>
      </c>
    </row>
    <row r="14" spans="1:33" ht="15" customHeight="1" x14ac:dyDescent="0.25">
      <c r="A14" s="8" t="s">
        <v>55</v>
      </c>
      <c r="B14" s="8" t="s">
        <v>62</v>
      </c>
      <c r="C14" s="8">
        <v>2</v>
      </c>
      <c r="D14" s="8" t="s">
        <v>386</v>
      </c>
      <c r="E14" s="8" t="s">
        <v>15</v>
      </c>
      <c r="F14" s="8" t="s">
        <v>63</v>
      </c>
      <c r="G14" s="8" t="s">
        <v>426</v>
      </c>
      <c r="H14" s="17">
        <v>0.65</v>
      </c>
      <c r="I14" s="17">
        <v>0</v>
      </c>
      <c r="J14" s="10">
        <v>109.5</v>
      </c>
      <c r="K14" s="10">
        <v>87.4</v>
      </c>
      <c r="L14" s="10">
        <v>60.2</v>
      </c>
      <c r="M14" s="10">
        <v>728.8</v>
      </c>
      <c r="N14" s="8" t="s">
        <v>16</v>
      </c>
      <c r="O14" s="8" t="s">
        <v>79</v>
      </c>
      <c r="P14" s="8" t="s">
        <v>18</v>
      </c>
      <c r="Q14" s="8"/>
      <c r="R14" s="8">
        <v>4</v>
      </c>
      <c r="S14" s="8" t="s">
        <v>19</v>
      </c>
      <c r="T14" s="8"/>
      <c r="U14" s="8"/>
      <c r="V14" s="8" t="s">
        <v>81</v>
      </c>
      <c r="W14" s="8">
        <v>107.8</v>
      </c>
      <c r="X14" s="8">
        <v>86.7</v>
      </c>
      <c r="Y14" s="8">
        <v>220</v>
      </c>
      <c r="Z14" s="8"/>
      <c r="AA14" s="8"/>
      <c r="AB14" s="8"/>
      <c r="AC14" s="8"/>
      <c r="AD14" s="8">
        <v>84</v>
      </c>
      <c r="AE14" s="8">
        <f t="shared" si="0"/>
        <v>4</v>
      </c>
      <c r="AF14" s="11" t="s">
        <v>87</v>
      </c>
      <c r="AG14" s="8" t="s">
        <v>94</v>
      </c>
    </row>
    <row r="15" spans="1:33" ht="15" customHeight="1" x14ac:dyDescent="0.25">
      <c r="A15" s="8" t="s">
        <v>56</v>
      </c>
      <c r="B15" s="8" t="s">
        <v>62</v>
      </c>
      <c r="C15" s="8">
        <v>2</v>
      </c>
      <c r="D15" s="8" t="s">
        <v>385</v>
      </c>
      <c r="E15" s="8" t="s">
        <v>21</v>
      </c>
      <c r="F15" s="8" t="s">
        <v>63</v>
      </c>
      <c r="G15" s="8" t="s">
        <v>426</v>
      </c>
      <c r="H15" s="17">
        <v>0.55000000000000004</v>
      </c>
      <c r="I15" s="17">
        <v>0.05</v>
      </c>
      <c r="J15" s="10">
        <v>69</v>
      </c>
      <c r="K15" s="10">
        <v>60.9</v>
      </c>
      <c r="L15" s="10">
        <v>37.4</v>
      </c>
      <c r="M15" s="10">
        <v>213.1</v>
      </c>
      <c r="N15" s="8" t="s">
        <v>22</v>
      </c>
      <c r="O15" s="18" t="s">
        <v>17</v>
      </c>
      <c r="P15" s="18" t="s">
        <v>20</v>
      </c>
      <c r="Q15" s="8" t="s">
        <v>77</v>
      </c>
      <c r="R15" s="8">
        <v>3</v>
      </c>
      <c r="S15" s="8" t="s">
        <v>19</v>
      </c>
      <c r="T15" s="8">
        <v>2</v>
      </c>
      <c r="U15" s="8" t="s">
        <v>78</v>
      </c>
      <c r="V15" s="8" t="s">
        <v>81</v>
      </c>
      <c r="W15" s="8">
        <v>57.8</v>
      </c>
      <c r="X15" s="8">
        <v>59.1</v>
      </c>
      <c r="Y15" s="8">
        <v>190</v>
      </c>
      <c r="Z15" s="8" t="s">
        <v>81</v>
      </c>
      <c r="AA15" s="8">
        <v>53.7</v>
      </c>
      <c r="AB15" s="8">
        <v>67.5</v>
      </c>
      <c r="AC15" s="8">
        <v>200</v>
      </c>
      <c r="AD15" s="8">
        <v>83.6</v>
      </c>
      <c r="AE15" s="8">
        <f t="shared" si="0"/>
        <v>5</v>
      </c>
      <c r="AF15" s="11" t="s">
        <v>88</v>
      </c>
      <c r="AG15" s="11" t="s">
        <v>96</v>
      </c>
    </row>
    <row r="16" spans="1:33" ht="15" customHeight="1" x14ac:dyDescent="0.25">
      <c r="A16" s="8" t="s">
        <v>57</v>
      </c>
      <c r="B16" s="8" t="s">
        <v>62</v>
      </c>
      <c r="C16" s="8">
        <v>3</v>
      </c>
      <c r="D16" s="8" t="s">
        <v>387</v>
      </c>
      <c r="E16" s="8" t="s">
        <v>21</v>
      </c>
      <c r="F16" s="8" t="s">
        <v>63</v>
      </c>
      <c r="G16" s="8" t="s">
        <v>426</v>
      </c>
      <c r="H16" s="17">
        <v>0.4</v>
      </c>
      <c r="I16" s="17">
        <v>0.1</v>
      </c>
      <c r="J16" s="10">
        <v>44.4</v>
      </c>
      <c r="K16" s="10">
        <v>31.6</v>
      </c>
      <c r="L16" s="10">
        <v>18.5</v>
      </c>
      <c r="M16" s="10">
        <v>22.78</v>
      </c>
      <c r="N16" s="8" t="s">
        <v>16</v>
      </c>
      <c r="O16" s="18" t="s">
        <v>17</v>
      </c>
      <c r="P16" s="18" t="s">
        <v>20</v>
      </c>
      <c r="Q16" s="18" t="s">
        <v>17</v>
      </c>
      <c r="R16" s="8">
        <v>1</v>
      </c>
      <c r="S16" s="8"/>
      <c r="T16" s="8">
        <v>1</v>
      </c>
      <c r="U16" s="8"/>
      <c r="V16" s="8" t="s">
        <v>81</v>
      </c>
      <c r="W16" s="8">
        <v>15</v>
      </c>
      <c r="X16" s="8">
        <v>25.6</v>
      </c>
      <c r="Y16" s="8">
        <v>79</v>
      </c>
      <c r="Z16" s="8" t="s">
        <v>81</v>
      </c>
      <c r="AA16" s="8">
        <v>21</v>
      </c>
      <c r="AB16" s="8">
        <v>26.4</v>
      </c>
      <c r="AC16" s="8">
        <v>88</v>
      </c>
      <c r="AD16" s="8">
        <v>69</v>
      </c>
      <c r="AE16" s="8">
        <f t="shared" si="0"/>
        <v>2</v>
      </c>
      <c r="AF16" s="11" t="s">
        <v>85</v>
      </c>
      <c r="AG16" s="8" t="s">
        <v>94</v>
      </c>
    </row>
    <row r="17" spans="1:33" ht="15" customHeight="1" x14ac:dyDescent="0.25">
      <c r="A17" s="8" t="s">
        <v>58</v>
      </c>
      <c r="B17" s="8" t="s">
        <v>62</v>
      </c>
      <c r="C17" s="8">
        <v>2</v>
      </c>
      <c r="D17" s="8" t="s">
        <v>388</v>
      </c>
      <c r="E17" s="8" t="s">
        <v>15</v>
      </c>
      <c r="F17" s="8" t="s">
        <v>63</v>
      </c>
      <c r="G17" s="8" t="s">
        <v>319</v>
      </c>
      <c r="H17" s="17">
        <v>0</v>
      </c>
      <c r="I17" s="17">
        <v>0.4</v>
      </c>
      <c r="J17" s="10">
        <v>39</v>
      </c>
      <c r="K17" s="10">
        <v>23.9</v>
      </c>
      <c r="L17" s="10">
        <v>18.8</v>
      </c>
      <c r="M17" s="10">
        <v>15.74</v>
      </c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11" t="s">
        <v>95</v>
      </c>
      <c r="AG17" s="11" t="s">
        <v>95</v>
      </c>
    </row>
  </sheetData>
  <phoneticPr fontId="1" type="noConversion"/>
  <dataValidations count="1">
    <dataValidation type="list" allowBlank="1" showInputMessage="1" showErrorMessage="1" sqref="E18:E1048576" xr:uid="{8707C35B-D71B-4533-90E2-1A3314E12840}">
      <formula1>"unwthrd,sl_wthrd,md_wthrd,hi_wthrd"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17E14-40CE-4BB1-AE3A-B902A7DF34E3}">
  <dimension ref="A1:Y119"/>
  <sheetViews>
    <sheetView tabSelected="1" topLeftCell="E1" zoomScale="115" zoomScaleNormal="115" workbookViewId="0">
      <pane ySplit="1" topLeftCell="A2" activePane="bottomLeft" state="frozen"/>
      <selection pane="bottomLeft" activeCell="U14" sqref="U14"/>
    </sheetView>
  </sheetViews>
  <sheetFormatPr defaultColWidth="8.6640625" defaultRowHeight="15.6" x14ac:dyDescent="0.25"/>
  <cols>
    <col min="1" max="1" width="13.6640625" style="8" customWidth="1"/>
    <col min="2" max="2" width="7.109375" style="8" customWidth="1"/>
    <col min="3" max="3" width="7.44140625" style="8" customWidth="1"/>
    <col min="4" max="4" width="10.6640625" style="8" customWidth="1"/>
    <col min="5" max="5" width="11.44140625" style="8" customWidth="1"/>
    <col min="6" max="6" width="15.6640625" style="8" customWidth="1"/>
    <col min="7" max="7" width="9.44140625" style="17" customWidth="1"/>
    <col min="8" max="8" width="9.77734375" style="17" customWidth="1"/>
    <col min="9" max="9" width="11.33203125" style="8" customWidth="1"/>
    <col min="10" max="13" width="9.44140625" style="10" customWidth="1"/>
    <col min="14" max="14" width="10.33203125" style="10" customWidth="1"/>
    <col min="15" max="15" width="9.44140625" style="10" customWidth="1"/>
    <col min="16" max="17" width="11.109375" style="8" customWidth="1"/>
    <col min="18" max="21" width="9.44140625" style="10" customWidth="1"/>
    <col min="22" max="22" width="6.6640625" style="8" customWidth="1"/>
    <col min="23" max="23" width="22.21875" style="8" customWidth="1"/>
    <col min="24" max="24" width="10.21875" style="8" customWidth="1"/>
    <col min="25" max="25" width="23.21875" style="8" customWidth="1"/>
    <col min="26" max="16384" width="8.6640625" style="8"/>
  </cols>
  <sheetData>
    <row r="1" spans="1:25" x14ac:dyDescent="0.25">
      <c r="A1" s="1" t="s">
        <v>44</v>
      </c>
      <c r="B1" s="2" t="s">
        <v>59</v>
      </c>
      <c r="C1" s="2" t="s">
        <v>0</v>
      </c>
      <c r="D1" s="2" t="s">
        <v>1</v>
      </c>
      <c r="E1" s="2" t="s">
        <v>2</v>
      </c>
      <c r="F1" s="2" t="s">
        <v>3</v>
      </c>
      <c r="G1" s="15" t="s">
        <v>5</v>
      </c>
      <c r="H1" s="15" t="s">
        <v>6</v>
      </c>
      <c r="I1" s="2" t="s">
        <v>24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192</v>
      </c>
      <c r="O1" s="4" t="s">
        <v>193</v>
      </c>
      <c r="P1" s="4" t="s">
        <v>25</v>
      </c>
      <c r="Q1" s="4" t="s">
        <v>26</v>
      </c>
      <c r="R1" s="4" t="s">
        <v>28</v>
      </c>
      <c r="S1" s="4" t="s">
        <v>27</v>
      </c>
      <c r="T1" s="4" t="s">
        <v>29</v>
      </c>
      <c r="U1" s="4" t="s">
        <v>30</v>
      </c>
      <c r="V1" s="4" t="s">
        <v>31</v>
      </c>
      <c r="W1" s="4" t="s">
        <v>383</v>
      </c>
      <c r="X1" s="4" t="s">
        <v>185</v>
      </c>
      <c r="Y1" s="2" t="s">
        <v>32</v>
      </c>
    </row>
    <row r="2" spans="1:25" x14ac:dyDescent="0.25">
      <c r="A2" s="8" t="s">
        <v>339</v>
      </c>
      <c r="B2" s="8" t="s">
        <v>60</v>
      </c>
      <c r="C2" s="8">
        <v>3</v>
      </c>
      <c r="D2" s="8" t="s">
        <v>384</v>
      </c>
      <c r="E2" s="8" t="s">
        <v>403</v>
      </c>
      <c r="F2" s="8" t="s">
        <v>184</v>
      </c>
      <c r="G2" s="17">
        <v>0</v>
      </c>
      <c r="H2" s="17">
        <v>0</v>
      </c>
      <c r="I2" s="8" t="s">
        <v>428</v>
      </c>
      <c r="J2" s="10">
        <v>32.799999999999997</v>
      </c>
      <c r="K2" s="10">
        <v>36.6</v>
      </c>
      <c r="L2" s="10">
        <v>14.2</v>
      </c>
      <c r="M2" s="10">
        <v>16.239999999999998</v>
      </c>
      <c r="N2" s="10">
        <f>J2/K2</f>
        <v>0.89617486338797803</v>
      </c>
      <c r="O2" s="10">
        <f>K2/L2</f>
        <v>2.5774647887323945</v>
      </c>
      <c r="P2" s="8" t="s">
        <v>437</v>
      </c>
      <c r="Q2" s="8" t="s">
        <v>354</v>
      </c>
      <c r="R2" s="10">
        <v>13.5</v>
      </c>
      <c r="S2" s="10">
        <v>35.200000000000003</v>
      </c>
      <c r="T2" s="10">
        <v>95</v>
      </c>
      <c r="U2" s="10">
        <v>74</v>
      </c>
      <c r="V2" s="8">
        <v>3</v>
      </c>
      <c r="W2" s="8" t="s">
        <v>381</v>
      </c>
      <c r="X2" s="8" t="s">
        <v>186</v>
      </c>
      <c r="Y2" s="8" t="s">
        <v>368</v>
      </c>
    </row>
    <row r="3" spans="1:25" x14ac:dyDescent="0.25">
      <c r="A3" s="8" t="s">
        <v>322</v>
      </c>
      <c r="B3" s="8" t="s">
        <v>60</v>
      </c>
      <c r="C3" s="8">
        <v>2</v>
      </c>
      <c r="D3" s="8" t="s">
        <v>385</v>
      </c>
      <c r="E3" s="8" t="s">
        <v>21</v>
      </c>
      <c r="F3" s="8" t="s">
        <v>184</v>
      </c>
      <c r="G3" s="17">
        <v>0.1</v>
      </c>
      <c r="H3" s="17">
        <v>0</v>
      </c>
      <c r="I3" s="8" t="s">
        <v>431</v>
      </c>
      <c r="J3" s="10">
        <v>43.8</v>
      </c>
      <c r="K3" s="10">
        <v>40.6</v>
      </c>
      <c r="L3" s="10">
        <v>9.9</v>
      </c>
      <c r="M3" s="10">
        <v>15.95</v>
      </c>
      <c r="N3" s="10">
        <f t="shared" ref="N3:N66" si="0">J3/K3</f>
        <v>1.0788177339901477</v>
      </c>
      <c r="O3" s="10">
        <f t="shared" ref="O3:O66" si="1">K3/L3</f>
        <v>4.1010101010101012</v>
      </c>
      <c r="P3" s="8" t="s">
        <v>438</v>
      </c>
      <c r="Q3" s="8" t="s">
        <v>354</v>
      </c>
      <c r="R3" s="10">
        <v>7.6</v>
      </c>
      <c r="S3" s="10">
        <v>25.8</v>
      </c>
      <c r="T3" s="10">
        <v>111</v>
      </c>
      <c r="U3" s="10">
        <v>75</v>
      </c>
      <c r="V3" s="8">
        <v>4</v>
      </c>
      <c r="W3" s="8" t="s">
        <v>375</v>
      </c>
      <c r="X3" s="8" t="s">
        <v>187</v>
      </c>
      <c r="Y3" s="8" t="s">
        <v>364</v>
      </c>
    </row>
    <row r="4" spans="1:25" x14ac:dyDescent="0.25">
      <c r="A4" s="8" t="s">
        <v>323</v>
      </c>
      <c r="B4" s="8" t="s">
        <v>60</v>
      </c>
      <c r="C4" s="8">
        <v>2</v>
      </c>
      <c r="D4" s="8" t="s">
        <v>386</v>
      </c>
      <c r="E4" s="8" t="s">
        <v>21</v>
      </c>
      <c r="F4" s="8" t="s">
        <v>184</v>
      </c>
      <c r="G4" s="17">
        <v>0.4</v>
      </c>
      <c r="H4" s="17">
        <v>0.1</v>
      </c>
      <c r="I4" s="8" t="s">
        <v>430</v>
      </c>
      <c r="J4" s="10">
        <v>31.1</v>
      </c>
      <c r="K4" s="10">
        <v>29.5</v>
      </c>
      <c r="L4" s="10">
        <v>7.6</v>
      </c>
      <c r="M4" s="10">
        <v>7.7</v>
      </c>
      <c r="N4" s="10">
        <f t="shared" si="0"/>
        <v>1.0542372881355933</v>
      </c>
      <c r="O4" s="10">
        <f t="shared" si="1"/>
        <v>3.8815789473684212</v>
      </c>
      <c r="P4" s="8" t="s">
        <v>436</v>
      </c>
      <c r="Q4" s="8" t="s">
        <v>354</v>
      </c>
      <c r="R4" s="10">
        <v>4.3</v>
      </c>
      <c r="S4" s="10">
        <v>16.7</v>
      </c>
      <c r="T4" s="10">
        <v>94</v>
      </c>
      <c r="U4" s="10">
        <v>83</v>
      </c>
      <c r="V4" s="8">
        <v>3</v>
      </c>
      <c r="W4" s="8" t="s">
        <v>375</v>
      </c>
      <c r="X4" s="8" t="s">
        <v>187</v>
      </c>
      <c r="Y4" s="8" t="s">
        <v>364</v>
      </c>
    </row>
    <row r="5" spans="1:25" x14ac:dyDescent="0.25">
      <c r="A5" s="8" t="s">
        <v>324</v>
      </c>
      <c r="B5" s="8" t="s">
        <v>60</v>
      </c>
      <c r="C5" s="8">
        <v>2</v>
      </c>
      <c r="D5" s="8" t="s">
        <v>386</v>
      </c>
      <c r="E5" s="8" t="s">
        <v>15</v>
      </c>
      <c r="F5" s="8" t="s">
        <v>184</v>
      </c>
      <c r="G5" s="17">
        <v>0.6</v>
      </c>
      <c r="H5" s="17">
        <v>0.1</v>
      </c>
      <c r="I5" s="8" t="s">
        <v>430</v>
      </c>
      <c r="J5" s="10">
        <v>62.3</v>
      </c>
      <c r="K5" s="10">
        <v>51.1</v>
      </c>
      <c r="L5" s="10">
        <v>37.4</v>
      </c>
      <c r="M5" s="10">
        <v>107.92</v>
      </c>
      <c r="N5" s="10">
        <f t="shared" si="0"/>
        <v>1.2191780821917808</v>
      </c>
      <c r="O5" s="10">
        <f t="shared" si="1"/>
        <v>1.3663101604278076</v>
      </c>
      <c r="P5" s="8" t="s">
        <v>434</v>
      </c>
      <c r="Q5" s="8" t="s">
        <v>354</v>
      </c>
      <c r="R5" s="10">
        <v>31.9</v>
      </c>
      <c r="S5" s="10">
        <v>38.1</v>
      </c>
      <c r="T5" s="10">
        <v>108</v>
      </c>
      <c r="U5" s="10">
        <v>78</v>
      </c>
      <c r="V5" s="8">
        <v>2</v>
      </c>
      <c r="W5" s="8" t="s">
        <v>375</v>
      </c>
      <c r="X5" s="8" t="s">
        <v>187</v>
      </c>
      <c r="Y5" s="8" t="s">
        <v>364</v>
      </c>
    </row>
    <row r="6" spans="1:25" x14ac:dyDescent="0.25">
      <c r="A6" s="8" t="s">
        <v>325</v>
      </c>
      <c r="B6" s="8" t="s">
        <v>60</v>
      </c>
      <c r="C6" s="8">
        <v>2</v>
      </c>
      <c r="D6" s="8" t="s">
        <v>386</v>
      </c>
      <c r="E6" s="8" t="s">
        <v>15</v>
      </c>
      <c r="F6" s="8" t="s">
        <v>184</v>
      </c>
      <c r="G6" s="17">
        <v>0</v>
      </c>
      <c r="H6" s="17">
        <v>0.05</v>
      </c>
      <c r="I6" s="8" t="s">
        <v>428</v>
      </c>
      <c r="J6" s="10">
        <v>17.3</v>
      </c>
      <c r="K6" s="10">
        <v>21.6</v>
      </c>
      <c r="L6" s="10">
        <v>8.5</v>
      </c>
      <c r="M6" s="10">
        <v>2.8</v>
      </c>
      <c r="N6" s="10">
        <f t="shared" si="0"/>
        <v>0.80092592592592593</v>
      </c>
      <c r="O6" s="10">
        <f t="shared" si="1"/>
        <v>2.5411764705882356</v>
      </c>
      <c r="P6" s="8" t="s">
        <v>434</v>
      </c>
      <c r="Q6" s="8" t="s">
        <v>354</v>
      </c>
      <c r="R6" s="10">
        <v>6.6</v>
      </c>
      <c r="S6" s="10">
        <v>16.8</v>
      </c>
      <c r="T6" s="10">
        <v>82</v>
      </c>
      <c r="U6" s="10">
        <v>78</v>
      </c>
      <c r="V6" s="8">
        <v>2</v>
      </c>
      <c r="W6" s="8" t="s">
        <v>375</v>
      </c>
      <c r="X6" s="8" t="s">
        <v>186</v>
      </c>
      <c r="Y6" s="8" t="s">
        <v>364</v>
      </c>
    </row>
    <row r="7" spans="1:25" x14ac:dyDescent="0.25">
      <c r="A7" s="8" t="s">
        <v>326</v>
      </c>
      <c r="B7" s="8" t="s">
        <v>60</v>
      </c>
      <c r="C7" s="8">
        <v>2</v>
      </c>
      <c r="D7" s="8" t="s">
        <v>386</v>
      </c>
      <c r="E7" s="8" t="s">
        <v>15</v>
      </c>
      <c r="F7" s="8" t="s">
        <v>184</v>
      </c>
      <c r="G7" s="17">
        <v>0</v>
      </c>
      <c r="H7" s="17">
        <v>0</v>
      </c>
      <c r="I7" s="8" t="s">
        <v>428</v>
      </c>
      <c r="J7" s="10">
        <v>45.3</v>
      </c>
      <c r="K7" s="10">
        <v>46.6</v>
      </c>
      <c r="L7" s="10">
        <v>16.8</v>
      </c>
      <c r="M7" s="10">
        <v>14.38</v>
      </c>
      <c r="N7" s="10">
        <f t="shared" si="0"/>
        <v>0.97210300429184537</v>
      </c>
      <c r="O7" s="10">
        <f t="shared" si="1"/>
        <v>2.7738095238095237</v>
      </c>
      <c r="P7" s="8" t="s">
        <v>438</v>
      </c>
      <c r="Q7" s="8" t="s">
        <v>355</v>
      </c>
      <c r="R7" s="10">
        <v>6.6</v>
      </c>
      <c r="S7" s="10">
        <v>9.3000000000000007</v>
      </c>
      <c r="T7" s="10">
        <v>117</v>
      </c>
      <c r="U7" s="10">
        <v>60</v>
      </c>
      <c r="V7" s="8">
        <v>5</v>
      </c>
      <c r="W7" s="8" t="s">
        <v>377</v>
      </c>
      <c r="X7" s="8" t="s">
        <v>186</v>
      </c>
      <c r="Y7" s="8" t="s">
        <v>371</v>
      </c>
    </row>
    <row r="8" spans="1:25" x14ac:dyDescent="0.25">
      <c r="A8" s="8" t="s">
        <v>340</v>
      </c>
      <c r="B8" s="8" t="s">
        <v>60</v>
      </c>
      <c r="C8" s="8">
        <v>3</v>
      </c>
      <c r="D8" s="8" t="s">
        <v>386</v>
      </c>
      <c r="E8" s="8" t="s">
        <v>15</v>
      </c>
      <c r="F8" s="8" t="s">
        <v>184</v>
      </c>
      <c r="G8" s="17">
        <v>0.1</v>
      </c>
      <c r="H8" s="17">
        <v>0</v>
      </c>
      <c r="I8" s="8" t="s">
        <v>430</v>
      </c>
      <c r="J8" s="10">
        <v>23.4</v>
      </c>
      <c r="K8" s="10">
        <v>25.6</v>
      </c>
      <c r="L8" s="10">
        <v>5.8</v>
      </c>
      <c r="M8" s="10">
        <v>3.38</v>
      </c>
      <c r="N8" s="10">
        <f t="shared" si="0"/>
        <v>0.91406249999999989</v>
      </c>
      <c r="O8" s="10">
        <f t="shared" si="1"/>
        <v>4.4137931034482758</v>
      </c>
      <c r="P8" s="8" t="s">
        <v>438</v>
      </c>
      <c r="Q8" s="8" t="s">
        <v>354</v>
      </c>
      <c r="R8" s="10">
        <v>5</v>
      </c>
      <c r="S8" s="10">
        <v>15.4</v>
      </c>
      <c r="V8" s="8">
        <v>2</v>
      </c>
      <c r="W8" s="8" t="s">
        <v>375</v>
      </c>
      <c r="X8" s="8" t="s">
        <v>187</v>
      </c>
      <c r="Y8" s="8" t="s">
        <v>364</v>
      </c>
    </row>
    <row r="9" spans="1:25" x14ac:dyDescent="0.25">
      <c r="A9" s="8" t="s">
        <v>339</v>
      </c>
      <c r="B9" s="8" t="s">
        <v>60</v>
      </c>
      <c r="C9" s="8">
        <v>3</v>
      </c>
      <c r="D9" s="8" t="s">
        <v>386</v>
      </c>
      <c r="E9" s="8" t="s">
        <v>15</v>
      </c>
      <c r="F9" s="8" t="s">
        <v>184</v>
      </c>
      <c r="G9" s="17">
        <v>0.3</v>
      </c>
      <c r="H9" s="17">
        <v>0</v>
      </c>
      <c r="I9" s="8" t="s">
        <v>430</v>
      </c>
      <c r="J9" s="10">
        <v>13.2</v>
      </c>
      <c r="K9" s="10">
        <v>14</v>
      </c>
      <c r="L9" s="10">
        <v>4.3</v>
      </c>
      <c r="M9" s="10">
        <v>0.75</v>
      </c>
      <c r="N9" s="10">
        <f t="shared" si="0"/>
        <v>0.94285714285714284</v>
      </c>
      <c r="O9" s="10">
        <f t="shared" si="1"/>
        <v>3.2558139534883721</v>
      </c>
      <c r="P9" s="8" t="s">
        <v>434</v>
      </c>
      <c r="Q9" s="8" t="s">
        <v>355</v>
      </c>
      <c r="R9" s="10">
        <v>1.6</v>
      </c>
      <c r="S9" s="10">
        <v>4.5</v>
      </c>
      <c r="T9" s="10">
        <v>133</v>
      </c>
      <c r="U9" s="10">
        <v>78</v>
      </c>
      <c r="V9" s="8">
        <v>2</v>
      </c>
      <c r="W9" s="8" t="s">
        <v>375</v>
      </c>
      <c r="X9" s="8" t="s">
        <v>188</v>
      </c>
      <c r="Y9" s="8" t="s">
        <v>364</v>
      </c>
    </row>
    <row r="10" spans="1:25" x14ac:dyDescent="0.25">
      <c r="A10" s="8" t="s">
        <v>341</v>
      </c>
      <c r="B10" s="8" t="s">
        <v>60</v>
      </c>
      <c r="C10" s="8">
        <v>3</v>
      </c>
      <c r="D10" s="8" t="s">
        <v>386</v>
      </c>
      <c r="E10" s="8" t="s">
        <v>15</v>
      </c>
      <c r="F10" s="8" t="s">
        <v>184</v>
      </c>
      <c r="G10" s="17">
        <v>0</v>
      </c>
      <c r="H10" s="17">
        <v>0</v>
      </c>
      <c r="I10" s="8" t="s">
        <v>428</v>
      </c>
      <c r="J10" s="10">
        <v>21.8</v>
      </c>
      <c r="K10" s="10">
        <v>32.5</v>
      </c>
      <c r="L10" s="10">
        <v>5.9</v>
      </c>
      <c r="M10" s="10">
        <v>4.3600000000000003</v>
      </c>
      <c r="N10" s="10">
        <f t="shared" si="0"/>
        <v>0.67076923076923078</v>
      </c>
      <c r="O10" s="10">
        <f t="shared" si="1"/>
        <v>5.508474576271186</v>
      </c>
      <c r="P10" s="8" t="s">
        <v>437</v>
      </c>
      <c r="Q10" s="8" t="s">
        <v>354</v>
      </c>
      <c r="R10" s="10">
        <v>5.0999999999999996</v>
      </c>
      <c r="S10" s="10">
        <v>30.9</v>
      </c>
      <c r="T10" s="10">
        <v>129</v>
      </c>
      <c r="U10" s="10">
        <v>73</v>
      </c>
      <c r="V10" s="8">
        <v>3</v>
      </c>
      <c r="W10" s="8" t="s">
        <v>375</v>
      </c>
      <c r="X10" s="8" t="s">
        <v>186</v>
      </c>
      <c r="Y10" s="8" t="s">
        <v>364</v>
      </c>
    </row>
    <row r="11" spans="1:25" x14ac:dyDescent="0.25">
      <c r="A11" s="8" t="s">
        <v>342</v>
      </c>
      <c r="B11" s="8" t="s">
        <v>60</v>
      </c>
      <c r="C11" s="8">
        <v>3</v>
      </c>
      <c r="D11" s="8" t="s">
        <v>387</v>
      </c>
      <c r="E11" s="8" t="s">
        <v>15</v>
      </c>
      <c r="F11" s="8" t="s">
        <v>184</v>
      </c>
      <c r="G11" s="17">
        <v>0.4</v>
      </c>
      <c r="H11" s="17">
        <v>0</v>
      </c>
      <c r="I11" s="8" t="s">
        <v>431</v>
      </c>
      <c r="J11" s="10">
        <v>25.8</v>
      </c>
      <c r="K11" s="10">
        <v>23.7</v>
      </c>
      <c r="L11" s="10">
        <v>6.3</v>
      </c>
      <c r="M11" s="10">
        <v>4.83</v>
      </c>
      <c r="N11" s="10">
        <f t="shared" si="0"/>
        <v>1.0886075949367089</v>
      </c>
      <c r="O11" s="10">
        <f t="shared" si="1"/>
        <v>3.7619047619047619</v>
      </c>
      <c r="P11" s="8" t="s">
        <v>434</v>
      </c>
      <c r="Q11" s="8" t="s">
        <v>356</v>
      </c>
      <c r="V11" s="8">
        <v>1</v>
      </c>
      <c r="W11" s="8" t="s">
        <v>375</v>
      </c>
      <c r="X11" s="8" t="s">
        <v>188</v>
      </c>
      <c r="Y11" s="8" t="s">
        <v>364</v>
      </c>
    </row>
    <row r="12" spans="1:25" x14ac:dyDescent="0.25">
      <c r="A12" s="8" t="s">
        <v>343</v>
      </c>
      <c r="B12" s="8" t="s">
        <v>60</v>
      </c>
      <c r="C12" s="8">
        <v>3</v>
      </c>
      <c r="D12" s="8" t="s">
        <v>386</v>
      </c>
      <c r="E12" s="8" t="s">
        <v>15</v>
      </c>
      <c r="F12" s="8" t="s">
        <v>184</v>
      </c>
      <c r="G12" s="17">
        <v>0.1</v>
      </c>
      <c r="H12" s="17">
        <v>0</v>
      </c>
      <c r="I12" s="8" t="s">
        <v>430</v>
      </c>
      <c r="J12" s="10">
        <v>37.6</v>
      </c>
      <c r="K12" s="10">
        <v>28.1</v>
      </c>
      <c r="L12" s="10">
        <v>7.6</v>
      </c>
      <c r="M12" s="10">
        <v>6.86</v>
      </c>
      <c r="N12" s="10">
        <f t="shared" si="0"/>
        <v>1.3380782918149465</v>
      </c>
      <c r="O12" s="10">
        <f t="shared" si="1"/>
        <v>3.6973684210526319</v>
      </c>
      <c r="P12" s="8" t="s">
        <v>438</v>
      </c>
      <c r="Q12" s="8" t="s">
        <v>354</v>
      </c>
      <c r="R12" s="10">
        <v>3.5</v>
      </c>
      <c r="S12" s="10">
        <v>13.8</v>
      </c>
      <c r="T12" s="10">
        <v>109</v>
      </c>
      <c r="U12" s="10">
        <v>79</v>
      </c>
      <c r="V12" s="8">
        <v>2</v>
      </c>
      <c r="W12" s="8" t="s">
        <v>375</v>
      </c>
      <c r="X12" s="8" t="s">
        <v>187</v>
      </c>
      <c r="Y12" s="8" t="s">
        <v>364</v>
      </c>
    </row>
    <row r="13" spans="1:25" x14ac:dyDescent="0.25">
      <c r="A13" s="8" t="s">
        <v>341</v>
      </c>
      <c r="B13" s="8" t="s">
        <v>60</v>
      </c>
      <c r="C13" s="8">
        <v>3</v>
      </c>
      <c r="D13" s="8" t="s">
        <v>387</v>
      </c>
      <c r="E13" s="8" t="s">
        <v>15</v>
      </c>
      <c r="F13" s="8" t="s">
        <v>184</v>
      </c>
      <c r="G13" s="17">
        <v>0.25</v>
      </c>
      <c r="H13" s="17">
        <v>0</v>
      </c>
      <c r="I13" s="8" t="s">
        <v>431</v>
      </c>
      <c r="J13" s="10">
        <v>68.3</v>
      </c>
      <c r="K13" s="10">
        <v>74.3</v>
      </c>
      <c r="L13" s="10">
        <v>31.8</v>
      </c>
      <c r="M13" s="10">
        <v>121.19</v>
      </c>
      <c r="N13" s="10">
        <f t="shared" si="0"/>
        <v>0.91924629878869446</v>
      </c>
      <c r="O13" s="10">
        <f t="shared" si="1"/>
        <v>2.3364779874213837</v>
      </c>
      <c r="P13" s="8" t="s">
        <v>436</v>
      </c>
      <c r="Q13" s="8" t="s">
        <v>357</v>
      </c>
      <c r="R13" s="10">
        <v>30.2</v>
      </c>
      <c r="S13" s="10">
        <v>62.7</v>
      </c>
      <c r="T13" s="10">
        <v>93</v>
      </c>
      <c r="U13" s="10">
        <v>64</v>
      </c>
      <c r="V13" s="8">
        <v>3</v>
      </c>
      <c r="W13" s="8" t="s">
        <v>375</v>
      </c>
      <c r="X13" s="8" t="s">
        <v>188</v>
      </c>
      <c r="Y13" s="8" t="s">
        <v>364</v>
      </c>
    </row>
    <row r="14" spans="1:25" x14ac:dyDescent="0.25">
      <c r="A14" s="8" t="s">
        <v>54</v>
      </c>
      <c r="B14" s="8" t="s">
        <v>60</v>
      </c>
      <c r="C14" s="8">
        <v>2</v>
      </c>
      <c r="D14" s="8" t="s">
        <v>386</v>
      </c>
      <c r="E14" s="8" t="s">
        <v>15</v>
      </c>
      <c r="F14" s="8" t="s">
        <v>184</v>
      </c>
      <c r="G14" s="17">
        <v>0</v>
      </c>
      <c r="H14" s="17">
        <v>0.05</v>
      </c>
      <c r="I14" s="8" t="s">
        <v>428</v>
      </c>
      <c r="J14" s="10">
        <v>20.3</v>
      </c>
      <c r="K14" s="10">
        <v>15.7</v>
      </c>
      <c r="L14" s="10">
        <v>5.7</v>
      </c>
      <c r="M14" s="10">
        <v>1.43</v>
      </c>
      <c r="N14" s="10">
        <f t="shared" si="0"/>
        <v>1.2929936305732486</v>
      </c>
      <c r="O14" s="10">
        <f t="shared" si="1"/>
        <v>2.7543859649122804</v>
      </c>
      <c r="P14" s="8" t="s">
        <v>438</v>
      </c>
      <c r="Q14" s="8" t="s">
        <v>355</v>
      </c>
      <c r="R14" s="10">
        <v>3.6</v>
      </c>
      <c r="S14" s="10">
        <v>10.4</v>
      </c>
      <c r="T14" s="10">
        <v>101</v>
      </c>
      <c r="U14" s="10">
        <v>88</v>
      </c>
      <c r="V14" s="8">
        <v>2</v>
      </c>
      <c r="W14" s="8" t="s">
        <v>375</v>
      </c>
      <c r="X14" s="8" t="s">
        <v>189</v>
      </c>
      <c r="Y14" s="8" t="s">
        <v>364</v>
      </c>
    </row>
    <row r="15" spans="1:25" x14ac:dyDescent="0.25">
      <c r="A15" s="8" t="s">
        <v>98</v>
      </c>
      <c r="B15" s="8" t="s">
        <v>60</v>
      </c>
      <c r="C15" s="8">
        <v>2</v>
      </c>
      <c r="D15" s="8" t="s">
        <v>388</v>
      </c>
      <c r="E15" s="8" t="s">
        <v>15</v>
      </c>
      <c r="F15" s="8" t="s">
        <v>184</v>
      </c>
      <c r="G15" s="17">
        <v>0</v>
      </c>
      <c r="H15" s="17">
        <v>0.2</v>
      </c>
      <c r="I15" s="8" t="s">
        <v>428</v>
      </c>
      <c r="J15" s="10">
        <v>22.17</v>
      </c>
      <c r="K15" s="10">
        <v>33.4</v>
      </c>
      <c r="L15" s="10">
        <v>7.8</v>
      </c>
      <c r="M15" s="10">
        <v>4.8099999999999996</v>
      </c>
      <c r="N15" s="10">
        <f t="shared" si="0"/>
        <v>0.66377245508982041</v>
      </c>
      <c r="O15" s="10">
        <f t="shared" si="1"/>
        <v>4.2820512820512819</v>
      </c>
      <c r="P15" s="8" t="s">
        <v>437</v>
      </c>
      <c r="Q15" s="8" t="s">
        <v>355</v>
      </c>
      <c r="R15" s="10">
        <v>5.5</v>
      </c>
      <c r="S15" s="10">
        <v>18.3</v>
      </c>
      <c r="T15" s="10">
        <v>113</v>
      </c>
      <c r="U15" s="10">
        <v>80</v>
      </c>
      <c r="V15" s="8">
        <v>1</v>
      </c>
      <c r="W15" s="8" t="s">
        <v>382</v>
      </c>
      <c r="X15" s="8" t="s">
        <v>189</v>
      </c>
      <c r="Y15" s="8" t="s">
        <v>366</v>
      </c>
    </row>
    <row r="16" spans="1:25" x14ac:dyDescent="0.25">
      <c r="A16" s="8" t="s">
        <v>55</v>
      </c>
      <c r="B16" s="8" t="s">
        <v>60</v>
      </c>
      <c r="C16" s="8">
        <v>2</v>
      </c>
      <c r="D16" s="8" t="s">
        <v>388</v>
      </c>
      <c r="E16" s="8" t="s">
        <v>15</v>
      </c>
      <c r="F16" s="8" t="s">
        <v>184</v>
      </c>
      <c r="G16" s="17">
        <v>0</v>
      </c>
      <c r="H16" s="17">
        <v>0</v>
      </c>
      <c r="I16" s="8" t="s">
        <v>428</v>
      </c>
      <c r="J16" s="10">
        <v>9.3000000000000007</v>
      </c>
      <c r="K16" s="10">
        <v>13.8</v>
      </c>
      <c r="L16" s="10">
        <v>2.9</v>
      </c>
      <c r="M16" s="10">
        <v>0.4</v>
      </c>
      <c r="N16" s="10">
        <f t="shared" si="0"/>
        <v>0.67391304347826086</v>
      </c>
      <c r="O16" s="10">
        <f t="shared" si="1"/>
        <v>4.7586206896551726</v>
      </c>
      <c r="P16" s="8" t="s">
        <v>437</v>
      </c>
      <c r="Q16" s="8" t="s">
        <v>356</v>
      </c>
      <c r="V16" s="8">
        <v>2</v>
      </c>
      <c r="X16" s="8" t="s">
        <v>416</v>
      </c>
      <c r="Y16" s="8" t="s">
        <v>370</v>
      </c>
    </row>
    <row r="17" spans="1:25" x14ac:dyDescent="0.25">
      <c r="A17" s="8" t="s">
        <v>99</v>
      </c>
      <c r="B17" s="8" t="s">
        <v>60</v>
      </c>
      <c r="C17" s="8">
        <v>2</v>
      </c>
      <c r="D17" s="8" t="s">
        <v>387</v>
      </c>
      <c r="E17" s="8" t="s">
        <v>21</v>
      </c>
      <c r="F17" s="8" t="s">
        <v>184</v>
      </c>
      <c r="G17" s="17">
        <v>0</v>
      </c>
      <c r="H17" s="17">
        <v>0</v>
      </c>
      <c r="I17" s="8" t="s">
        <v>428</v>
      </c>
      <c r="J17" s="10">
        <v>31.3</v>
      </c>
      <c r="K17" s="10">
        <v>17</v>
      </c>
      <c r="L17" s="10">
        <v>7.5</v>
      </c>
      <c r="M17" s="10">
        <v>3.1</v>
      </c>
      <c r="N17" s="10">
        <f t="shared" si="0"/>
        <v>1.8411764705882354</v>
      </c>
      <c r="O17" s="10">
        <f t="shared" si="1"/>
        <v>2.2666666666666666</v>
      </c>
      <c r="P17" s="8" t="s">
        <v>437</v>
      </c>
      <c r="Q17" s="8" t="s">
        <v>355</v>
      </c>
      <c r="R17" s="10">
        <v>7.1</v>
      </c>
      <c r="S17" s="10">
        <v>10.4</v>
      </c>
      <c r="T17" s="10">
        <v>98</v>
      </c>
      <c r="U17" s="10">
        <v>58</v>
      </c>
      <c r="V17" s="8">
        <v>1</v>
      </c>
      <c r="W17" s="8" t="s">
        <v>375</v>
      </c>
      <c r="X17" s="8" t="s">
        <v>189</v>
      </c>
      <c r="Y17" s="8" t="s">
        <v>364</v>
      </c>
    </row>
    <row r="18" spans="1:25" x14ac:dyDescent="0.25">
      <c r="A18" s="8" t="s">
        <v>100</v>
      </c>
      <c r="B18" s="8" t="s">
        <v>60</v>
      </c>
      <c r="C18" s="8">
        <v>2</v>
      </c>
      <c r="D18" s="8" t="s">
        <v>387</v>
      </c>
      <c r="E18" s="8" t="s">
        <v>21</v>
      </c>
      <c r="F18" s="8" t="s">
        <v>184</v>
      </c>
      <c r="G18" s="17">
        <v>0</v>
      </c>
      <c r="H18" s="17">
        <v>0.1</v>
      </c>
      <c r="I18" s="8" t="s">
        <v>428</v>
      </c>
      <c r="J18" s="10">
        <v>29.4</v>
      </c>
      <c r="K18" s="10">
        <v>22.2</v>
      </c>
      <c r="L18" s="10">
        <v>6.5</v>
      </c>
      <c r="M18" s="10">
        <v>3.19</v>
      </c>
      <c r="N18" s="10">
        <f t="shared" si="0"/>
        <v>1.3243243243243243</v>
      </c>
      <c r="O18" s="10">
        <f t="shared" si="1"/>
        <v>3.4153846153846152</v>
      </c>
      <c r="P18" s="8" t="s">
        <v>438</v>
      </c>
      <c r="Q18" s="8" t="s">
        <v>355</v>
      </c>
      <c r="R18" s="10">
        <v>2.2999999999999998</v>
      </c>
      <c r="S18" s="10">
        <v>8.8000000000000007</v>
      </c>
      <c r="T18" s="10">
        <v>113</v>
      </c>
      <c r="U18" s="10">
        <v>83</v>
      </c>
      <c r="V18" s="8">
        <v>1</v>
      </c>
      <c r="W18" s="8" t="s">
        <v>375</v>
      </c>
      <c r="X18" s="8" t="s">
        <v>189</v>
      </c>
      <c r="Y18" s="8" t="s">
        <v>364</v>
      </c>
    </row>
    <row r="19" spans="1:25" x14ac:dyDescent="0.25">
      <c r="A19" s="8" t="s">
        <v>101</v>
      </c>
      <c r="B19" s="8" t="s">
        <v>60</v>
      </c>
      <c r="C19" s="8">
        <v>2</v>
      </c>
      <c r="D19" s="8" t="s">
        <v>388</v>
      </c>
      <c r="E19" s="8" t="s">
        <v>15</v>
      </c>
      <c r="F19" s="8" t="s">
        <v>184</v>
      </c>
      <c r="G19" s="17">
        <v>0</v>
      </c>
      <c r="H19" s="17">
        <v>0.4</v>
      </c>
      <c r="I19" s="8" t="s">
        <v>428</v>
      </c>
      <c r="J19" s="10">
        <v>20.2</v>
      </c>
      <c r="K19" s="10">
        <v>9.6999999999999993</v>
      </c>
      <c r="L19" s="10">
        <v>6.4</v>
      </c>
      <c r="M19" s="10">
        <v>1.21</v>
      </c>
      <c r="N19" s="10">
        <f t="shared" si="0"/>
        <v>2.0824742268041239</v>
      </c>
      <c r="O19" s="10">
        <f t="shared" si="1"/>
        <v>1.5156249999999998</v>
      </c>
      <c r="P19" s="8" t="s">
        <v>437</v>
      </c>
      <c r="Q19" s="8" t="s">
        <v>358</v>
      </c>
      <c r="V19" s="8">
        <v>3</v>
      </c>
      <c r="X19" s="8" t="s">
        <v>416</v>
      </c>
      <c r="Y19" s="8" t="s">
        <v>370</v>
      </c>
    </row>
    <row r="20" spans="1:25" x14ac:dyDescent="0.25">
      <c r="A20" s="8" t="s">
        <v>102</v>
      </c>
      <c r="B20" s="8" t="s">
        <v>60</v>
      </c>
      <c r="C20" s="8">
        <v>2</v>
      </c>
      <c r="D20" s="8" t="s">
        <v>388</v>
      </c>
      <c r="E20" s="8" t="s">
        <v>15</v>
      </c>
      <c r="F20" s="8" t="s">
        <v>184</v>
      </c>
      <c r="G20" s="17">
        <v>0</v>
      </c>
      <c r="H20" s="17">
        <v>0</v>
      </c>
      <c r="I20" s="8" t="s">
        <v>428</v>
      </c>
      <c r="J20" s="10">
        <v>14.6</v>
      </c>
      <c r="K20" s="10">
        <v>13</v>
      </c>
      <c r="L20" s="10">
        <v>5.7</v>
      </c>
      <c r="M20" s="10">
        <v>1.2</v>
      </c>
      <c r="N20" s="10">
        <f t="shared" si="0"/>
        <v>1.1230769230769231</v>
      </c>
      <c r="O20" s="10">
        <f t="shared" si="1"/>
        <v>2.2807017543859649</v>
      </c>
      <c r="P20" s="8" t="s">
        <v>437</v>
      </c>
      <c r="Q20" s="8" t="s">
        <v>356</v>
      </c>
      <c r="V20" s="8">
        <v>3</v>
      </c>
      <c r="X20" s="8" t="s">
        <v>416</v>
      </c>
      <c r="Y20" s="8" t="s">
        <v>370</v>
      </c>
    </row>
    <row r="21" spans="1:25" x14ac:dyDescent="0.25">
      <c r="A21" s="8" t="s">
        <v>103</v>
      </c>
      <c r="B21" s="8" t="s">
        <v>60</v>
      </c>
      <c r="C21" s="8">
        <v>2</v>
      </c>
      <c r="D21" s="8" t="s">
        <v>388</v>
      </c>
      <c r="E21" s="8" t="s">
        <v>15</v>
      </c>
      <c r="F21" s="8" t="s">
        <v>184</v>
      </c>
      <c r="G21" s="17">
        <v>0</v>
      </c>
      <c r="H21" s="17">
        <v>0.2</v>
      </c>
      <c r="I21" s="8" t="s">
        <v>428</v>
      </c>
      <c r="J21" s="10">
        <v>15.7</v>
      </c>
      <c r="K21" s="10">
        <v>13</v>
      </c>
      <c r="L21" s="10">
        <v>5.4</v>
      </c>
      <c r="M21" s="10">
        <v>1.25</v>
      </c>
      <c r="N21" s="10">
        <f t="shared" si="0"/>
        <v>1.2076923076923076</v>
      </c>
      <c r="O21" s="10">
        <f t="shared" si="1"/>
        <v>2.4074074074074074</v>
      </c>
      <c r="P21" s="8" t="s">
        <v>437</v>
      </c>
      <c r="Q21" s="8" t="s">
        <v>358</v>
      </c>
      <c r="V21" s="8">
        <v>3</v>
      </c>
      <c r="X21" s="8" t="s">
        <v>416</v>
      </c>
      <c r="Y21" s="8" t="s">
        <v>370</v>
      </c>
    </row>
    <row r="22" spans="1:25" x14ac:dyDescent="0.25">
      <c r="A22" s="8" t="s">
        <v>104</v>
      </c>
      <c r="B22" s="8" t="s">
        <v>60</v>
      </c>
      <c r="C22" s="8">
        <v>3</v>
      </c>
      <c r="D22" s="8" t="s">
        <v>387</v>
      </c>
      <c r="E22" s="8" t="s">
        <v>21</v>
      </c>
      <c r="F22" s="8" t="s">
        <v>184</v>
      </c>
      <c r="G22" s="17">
        <v>0.25</v>
      </c>
      <c r="H22" s="17">
        <v>0</v>
      </c>
      <c r="I22" s="8" t="s">
        <v>430</v>
      </c>
      <c r="J22" s="10">
        <v>33.4</v>
      </c>
      <c r="K22" s="10">
        <v>25.1</v>
      </c>
      <c r="L22" s="10">
        <v>10.7</v>
      </c>
      <c r="M22" s="10">
        <v>7.72</v>
      </c>
      <c r="N22" s="10">
        <f t="shared" si="0"/>
        <v>1.3306772908366533</v>
      </c>
      <c r="O22" s="10">
        <f t="shared" si="1"/>
        <v>2.3457943925233646</v>
      </c>
      <c r="P22" s="8" t="s">
        <v>437</v>
      </c>
      <c r="Q22" s="8" t="s">
        <v>354</v>
      </c>
      <c r="R22" s="10">
        <v>8.1999999999999993</v>
      </c>
      <c r="S22" s="10">
        <v>12.3</v>
      </c>
      <c r="T22" s="10">
        <v>103</v>
      </c>
      <c r="U22" s="10">
        <v>80</v>
      </c>
      <c r="V22" s="8">
        <v>2</v>
      </c>
      <c r="W22" s="8" t="s">
        <v>375</v>
      </c>
      <c r="X22" s="8" t="s">
        <v>187</v>
      </c>
      <c r="Y22" s="8" t="s">
        <v>364</v>
      </c>
    </row>
    <row r="23" spans="1:25" x14ac:dyDescent="0.25">
      <c r="A23" s="8" t="s">
        <v>57</v>
      </c>
      <c r="B23" s="8" t="s">
        <v>60</v>
      </c>
      <c r="C23" s="8">
        <v>3</v>
      </c>
      <c r="D23" s="8" t="s">
        <v>401</v>
      </c>
      <c r="E23" s="8" t="s">
        <v>15</v>
      </c>
      <c r="F23" s="8" t="s">
        <v>184</v>
      </c>
      <c r="G23" s="17">
        <v>0</v>
      </c>
      <c r="H23" s="17">
        <v>0</v>
      </c>
      <c r="I23" s="8" t="s">
        <v>428</v>
      </c>
      <c r="J23" s="10">
        <v>9.3000000000000007</v>
      </c>
      <c r="K23" s="10">
        <v>14.2</v>
      </c>
      <c r="L23" s="10">
        <v>2.9</v>
      </c>
      <c r="M23" s="10">
        <v>0.35</v>
      </c>
      <c r="N23" s="10">
        <f t="shared" si="0"/>
        <v>0.65492957746478886</v>
      </c>
      <c r="O23" s="10">
        <f t="shared" si="1"/>
        <v>4.8965517241379306</v>
      </c>
      <c r="P23" s="8" t="s">
        <v>437</v>
      </c>
      <c r="Q23" s="8" t="s">
        <v>355</v>
      </c>
      <c r="R23" s="10">
        <v>2</v>
      </c>
      <c r="S23" s="10">
        <v>5.4</v>
      </c>
      <c r="T23" s="10">
        <v>116</v>
      </c>
      <c r="U23" s="10">
        <v>70</v>
      </c>
      <c r="V23" s="8">
        <v>1</v>
      </c>
      <c r="W23" s="8" t="s">
        <v>375</v>
      </c>
      <c r="X23" s="8" t="s">
        <v>186</v>
      </c>
      <c r="Y23" s="8" t="s">
        <v>364</v>
      </c>
    </row>
    <row r="24" spans="1:25" x14ac:dyDescent="0.25">
      <c r="A24" s="8" t="s">
        <v>105</v>
      </c>
      <c r="B24" s="8" t="s">
        <v>60</v>
      </c>
      <c r="C24" s="8">
        <v>3</v>
      </c>
      <c r="D24" s="8" t="s">
        <v>387</v>
      </c>
      <c r="E24" s="8" t="s">
        <v>21</v>
      </c>
      <c r="F24" s="8" t="s">
        <v>184</v>
      </c>
      <c r="G24" s="17">
        <v>0</v>
      </c>
      <c r="H24" s="17">
        <v>0</v>
      </c>
      <c r="I24" s="8" t="s">
        <v>428</v>
      </c>
      <c r="J24" s="10">
        <v>25.7</v>
      </c>
      <c r="K24" s="10">
        <v>18.7</v>
      </c>
      <c r="L24" s="10">
        <v>5.9</v>
      </c>
      <c r="M24" s="10">
        <v>1.91</v>
      </c>
      <c r="N24" s="10">
        <f t="shared" si="0"/>
        <v>1.374331550802139</v>
      </c>
      <c r="O24" s="10">
        <f t="shared" si="1"/>
        <v>3.1694915254237284</v>
      </c>
      <c r="P24" s="8" t="s">
        <v>437</v>
      </c>
      <c r="Q24" s="8" t="s">
        <v>354</v>
      </c>
      <c r="R24" s="10">
        <v>5</v>
      </c>
      <c r="S24" s="10">
        <v>10.6</v>
      </c>
      <c r="T24" s="10">
        <v>96</v>
      </c>
      <c r="U24" s="10">
        <v>82</v>
      </c>
      <c r="V24" s="8">
        <v>2</v>
      </c>
      <c r="W24" s="8" t="s">
        <v>375</v>
      </c>
      <c r="X24" s="8" t="s">
        <v>186</v>
      </c>
      <c r="Y24" s="8" t="s">
        <v>364</v>
      </c>
    </row>
    <row r="25" spans="1:25" x14ac:dyDescent="0.25">
      <c r="A25" s="8" t="s">
        <v>106</v>
      </c>
      <c r="B25" s="8" t="s">
        <v>60</v>
      </c>
      <c r="C25" s="8">
        <v>3</v>
      </c>
      <c r="D25" s="8" t="s">
        <v>386</v>
      </c>
      <c r="E25" s="8" t="s">
        <v>21</v>
      </c>
      <c r="F25" s="8" t="s">
        <v>184</v>
      </c>
      <c r="G25" s="17">
        <v>0.5</v>
      </c>
      <c r="H25" s="17">
        <v>0</v>
      </c>
      <c r="I25" s="8" t="s">
        <v>430</v>
      </c>
      <c r="J25" s="10">
        <v>47.6</v>
      </c>
      <c r="K25" s="10">
        <v>29.8</v>
      </c>
      <c r="L25" s="10">
        <v>16.5</v>
      </c>
      <c r="M25" s="10">
        <v>20.78</v>
      </c>
      <c r="N25" s="10">
        <f t="shared" si="0"/>
        <v>1.5973154362416107</v>
      </c>
      <c r="O25" s="10">
        <f t="shared" si="1"/>
        <v>1.8060606060606061</v>
      </c>
      <c r="P25" s="8" t="s">
        <v>438</v>
      </c>
      <c r="Q25" s="8" t="s">
        <v>354</v>
      </c>
      <c r="R25" s="10">
        <v>14.7</v>
      </c>
      <c r="S25" s="10">
        <v>28.1</v>
      </c>
      <c r="T25" s="10">
        <v>110</v>
      </c>
      <c r="U25" s="10">
        <v>79</v>
      </c>
      <c r="V25" s="8">
        <v>1</v>
      </c>
      <c r="W25" s="8" t="s">
        <v>375</v>
      </c>
      <c r="X25" s="8" t="s">
        <v>187</v>
      </c>
      <c r="Y25" s="8" t="s">
        <v>364</v>
      </c>
    </row>
    <row r="26" spans="1:25" x14ac:dyDescent="0.25">
      <c r="A26" s="8" t="s">
        <v>107</v>
      </c>
      <c r="B26" s="8" t="s">
        <v>60</v>
      </c>
      <c r="C26" s="8">
        <v>3</v>
      </c>
      <c r="D26" s="8" t="s">
        <v>387</v>
      </c>
      <c r="E26" s="8" t="s">
        <v>15</v>
      </c>
      <c r="F26" s="8" t="s">
        <v>184</v>
      </c>
      <c r="G26" s="17">
        <v>0</v>
      </c>
      <c r="H26" s="17">
        <v>0</v>
      </c>
      <c r="I26" s="8" t="s">
        <v>428</v>
      </c>
      <c r="J26" s="10">
        <v>28.9</v>
      </c>
      <c r="K26" s="10">
        <v>17.399999999999999</v>
      </c>
      <c r="L26" s="10">
        <v>14.3</v>
      </c>
      <c r="M26" s="10">
        <v>2.31</v>
      </c>
      <c r="N26" s="10">
        <f t="shared" si="0"/>
        <v>1.6609195402298851</v>
      </c>
      <c r="O26" s="10">
        <f t="shared" si="1"/>
        <v>1.2167832167832167</v>
      </c>
      <c r="P26" s="8" t="s">
        <v>436</v>
      </c>
      <c r="Q26" s="8" t="s">
        <v>354</v>
      </c>
      <c r="R26" s="10">
        <v>11.8</v>
      </c>
      <c r="S26" s="10">
        <v>12.1</v>
      </c>
      <c r="T26" s="10">
        <v>98</v>
      </c>
      <c r="V26" s="8">
        <v>2</v>
      </c>
      <c r="W26" s="8" t="s">
        <v>375</v>
      </c>
      <c r="X26" s="8" t="s">
        <v>186</v>
      </c>
      <c r="Y26" s="8" t="s">
        <v>364</v>
      </c>
    </row>
    <row r="27" spans="1:25" x14ac:dyDescent="0.25">
      <c r="A27" s="8" t="s">
        <v>108</v>
      </c>
      <c r="B27" s="8" t="s">
        <v>60</v>
      </c>
      <c r="C27" s="8">
        <v>3</v>
      </c>
      <c r="D27" s="8" t="s">
        <v>386</v>
      </c>
      <c r="E27" s="8" t="s">
        <v>21</v>
      </c>
      <c r="F27" s="8" t="s">
        <v>184</v>
      </c>
      <c r="G27" s="17">
        <v>0</v>
      </c>
      <c r="H27" s="17">
        <v>0</v>
      </c>
      <c r="I27" s="8" t="s">
        <v>428</v>
      </c>
      <c r="J27" s="10">
        <v>21.5</v>
      </c>
      <c r="K27" s="10">
        <v>14.5</v>
      </c>
      <c r="L27" s="10">
        <v>7</v>
      </c>
      <c r="M27" s="10">
        <v>1.23</v>
      </c>
      <c r="N27" s="10">
        <f t="shared" si="0"/>
        <v>1.4827586206896552</v>
      </c>
      <c r="O27" s="10">
        <f t="shared" si="1"/>
        <v>2.0714285714285716</v>
      </c>
      <c r="P27" s="8" t="s">
        <v>438</v>
      </c>
      <c r="Q27" s="8" t="s">
        <v>354</v>
      </c>
      <c r="R27" s="10">
        <v>6.1</v>
      </c>
      <c r="S27" s="10">
        <v>8.8000000000000007</v>
      </c>
      <c r="T27" s="10">
        <v>116</v>
      </c>
      <c r="U27" s="10">
        <v>72</v>
      </c>
      <c r="V27" s="8">
        <v>2</v>
      </c>
      <c r="W27" s="8" t="s">
        <v>375</v>
      </c>
      <c r="X27" s="8" t="s">
        <v>186</v>
      </c>
      <c r="Y27" s="8" t="s">
        <v>364</v>
      </c>
    </row>
    <row r="28" spans="1:25" x14ac:dyDescent="0.25">
      <c r="A28" s="8" t="s">
        <v>109</v>
      </c>
      <c r="B28" s="8" t="s">
        <v>60</v>
      </c>
      <c r="C28" s="8">
        <v>3</v>
      </c>
      <c r="D28" s="8" t="s">
        <v>386</v>
      </c>
      <c r="E28" s="8" t="s">
        <v>21</v>
      </c>
      <c r="F28" s="8" t="s">
        <v>184</v>
      </c>
      <c r="G28" s="17">
        <v>1</v>
      </c>
      <c r="H28" s="17">
        <v>0</v>
      </c>
      <c r="I28" s="8" t="s">
        <v>429</v>
      </c>
      <c r="J28" s="10">
        <v>59.2</v>
      </c>
      <c r="K28" s="10">
        <v>35.4</v>
      </c>
      <c r="L28" s="10">
        <v>14.9</v>
      </c>
      <c r="M28" s="10">
        <v>23.17</v>
      </c>
      <c r="N28" s="10">
        <f t="shared" si="0"/>
        <v>1.6723163841807911</v>
      </c>
      <c r="O28" s="10">
        <f t="shared" si="1"/>
        <v>2.3758389261744965</v>
      </c>
      <c r="P28" s="8" t="s">
        <v>436</v>
      </c>
      <c r="Q28" s="8" t="s">
        <v>356</v>
      </c>
      <c r="V28" s="8">
        <v>0</v>
      </c>
      <c r="W28" s="8" t="s">
        <v>378</v>
      </c>
      <c r="X28" s="8" t="s">
        <v>190</v>
      </c>
      <c r="Y28" s="8" t="s">
        <v>369</v>
      </c>
    </row>
    <row r="29" spans="1:25" x14ac:dyDescent="0.25">
      <c r="A29" s="8" t="s">
        <v>110</v>
      </c>
      <c r="B29" s="8" t="s">
        <v>60</v>
      </c>
      <c r="C29" s="8">
        <v>3</v>
      </c>
      <c r="D29" s="8" t="s">
        <v>387</v>
      </c>
      <c r="E29" s="8" t="s">
        <v>21</v>
      </c>
      <c r="F29" s="8" t="s">
        <v>184</v>
      </c>
      <c r="G29" s="17">
        <v>0</v>
      </c>
      <c r="H29" s="17">
        <v>0</v>
      </c>
      <c r="I29" s="8" t="s">
        <v>428</v>
      </c>
      <c r="J29" s="10">
        <v>33.1</v>
      </c>
      <c r="K29" s="10">
        <v>28.9</v>
      </c>
      <c r="L29" s="10">
        <v>11.3</v>
      </c>
      <c r="M29" s="10">
        <v>9.36</v>
      </c>
      <c r="N29" s="10">
        <f t="shared" si="0"/>
        <v>1.1453287197231834</v>
      </c>
      <c r="O29" s="10">
        <f t="shared" si="1"/>
        <v>2.5575221238938051</v>
      </c>
      <c r="P29" s="8" t="s">
        <v>437</v>
      </c>
      <c r="Q29" s="8" t="s">
        <v>354</v>
      </c>
      <c r="R29" s="10">
        <v>8.5</v>
      </c>
      <c r="S29" s="10">
        <v>13.3</v>
      </c>
      <c r="T29" s="10">
        <v>106</v>
      </c>
      <c r="V29" s="8">
        <v>3</v>
      </c>
      <c r="W29" s="8" t="s">
        <v>374</v>
      </c>
      <c r="X29" s="8" t="s">
        <v>186</v>
      </c>
      <c r="Y29" s="8" t="s">
        <v>365</v>
      </c>
    </row>
    <row r="30" spans="1:25" x14ac:dyDescent="0.25">
      <c r="A30" s="8" t="s">
        <v>111</v>
      </c>
      <c r="B30" s="8" t="s">
        <v>60</v>
      </c>
      <c r="C30" s="8">
        <v>3</v>
      </c>
      <c r="D30" s="8" t="s">
        <v>386</v>
      </c>
      <c r="E30" s="8" t="s">
        <v>15</v>
      </c>
      <c r="F30" s="8" t="s">
        <v>413</v>
      </c>
      <c r="G30" s="17">
        <v>0</v>
      </c>
      <c r="H30" s="17">
        <v>0</v>
      </c>
      <c r="I30" s="8" t="s">
        <v>428</v>
      </c>
      <c r="J30" s="10">
        <v>14.4</v>
      </c>
      <c r="K30" s="10">
        <v>25.3</v>
      </c>
      <c r="L30" s="10">
        <v>5.8</v>
      </c>
      <c r="M30" s="10">
        <v>1.59</v>
      </c>
      <c r="N30" s="10">
        <f t="shared" si="0"/>
        <v>0.56916996047430835</v>
      </c>
      <c r="O30" s="10">
        <f t="shared" si="1"/>
        <v>4.362068965517242</v>
      </c>
      <c r="P30" s="8" t="s">
        <v>437</v>
      </c>
      <c r="Q30" s="8" t="s">
        <v>355</v>
      </c>
      <c r="R30" s="10">
        <v>5</v>
      </c>
      <c r="S30" s="10">
        <v>16.100000000000001</v>
      </c>
      <c r="T30" s="10">
        <v>112</v>
      </c>
      <c r="U30" s="10">
        <v>89</v>
      </c>
      <c r="V30" s="8">
        <v>0</v>
      </c>
      <c r="W30" s="8" t="s">
        <v>380</v>
      </c>
      <c r="X30" s="8" t="s">
        <v>189</v>
      </c>
      <c r="Y30" s="8" t="s">
        <v>372</v>
      </c>
    </row>
    <row r="31" spans="1:25" x14ac:dyDescent="0.25">
      <c r="A31" s="8" t="s">
        <v>112</v>
      </c>
      <c r="B31" s="8" t="s">
        <v>60</v>
      </c>
      <c r="C31" s="8">
        <v>3</v>
      </c>
      <c r="D31" s="8" t="s">
        <v>386</v>
      </c>
      <c r="E31" s="8" t="s">
        <v>15</v>
      </c>
      <c r="F31" s="8" t="s">
        <v>184</v>
      </c>
      <c r="G31" s="17">
        <v>0</v>
      </c>
      <c r="H31" s="17">
        <v>0</v>
      </c>
      <c r="I31" s="8" t="s">
        <v>428</v>
      </c>
      <c r="J31" s="10">
        <v>18.899999999999999</v>
      </c>
      <c r="K31" s="10">
        <v>15.3</v>
      </c>
      <c r="L31" s="10">
        <v>4.7</v>
      </c>
      <c r="M31" s="10">
        <v>1.31</v>
      </c>
      <c r="N31" s="10">
        <f t="shared" si="0"/>
        <v>1.2352941176470587</v>
      </c>
      <c r="O31" s="10">
        <f t="shared" si="1"/>
        <v>3.2553191489361701</v>
      </c>
      <c r="P31" s="8" t="s">
        <v>437</v>
      </c>
      <c r="Q31" s="8" t="s">
        <v>355</v>
      </c>
      <c r="R31" s="10">
        <v>3.4</v>
      </c>
      <c r="S31" s="10">
        <v>5.4</v>
      </c>
      <c r="T31" s="10">
        <v>97</v>
      </c>
      <c r="V31" s="8">
        <v>2</v>
      </c>
      <c r="W31" s="8" t="s">
        <v>375</v>
      </c>
      <c r="X31" s="8" t="s">
        <v>189</v>
      </c>
      <c r="Y31" s="8" t="s">
        <v>364</v>
      </c>
    </row>
    <row r="32" spans="1:25" x14ac:dyDescent="0.25">
      <c r="A32" s="8" t="s">
        <v>113</v>
      </c>
      <c r="B32" s="8" t="s">
        <v>60</v>
      </c>
      <c r="C32" s="8">
        <v>3</v>
      </c>
      <c r="D32" s="8" t="s">
        <v>388</v>
      </c>
      <c r="E32" s="8" t="s">
        <v>15</v>
      </c>
      <c r="F32" s="8" t="s">
        <v>184</v>
      </c>
      <c r="G32" s="17">
        <v>0</v>
      </c>
      <c r="H32" s="17">
        <v>0</v>
      </c>
      <c r="I32" s="8" t="s">
        <v>428</v>
      </c>
      <c r="J32" s="10">
        <v>23.5</v>
      </c>
      <c r="K32" s="10">
        <v>17</v>
      </c>
      <c r="L32" s="10">
        <v>6</v>
      </c>
      <c r="M32" s="10">
        <v>2.56</v>
      </c>
      <c r="N32" s="10">
        <f t="shared" si="0"/>
        <v>1.3823529411764706</v>
      </c>
      <c r="O32" s="10">
        <f t="shared" si="1"/>
        <v>2.8333333333333335</v>
      </c>
      <c r="P32" s="8" t="s">
        <v>437</v>
      </c>
      <c r="Q32" s="8" t="s">
        <v>355</v>
      </c>
      <c r="R32" s="10">
        <v>6.3</v>
      </c>
      <c r="S32" s="10">
        <v>10.4</v>
      </c>
      <c r="T32" s="10">
        <v>106</v>
      </c>
      <c r="U32" s="10">
        <v>68</v>
      </c>
      <c r="V32" s="8">
        <v>3</v>
      </c>
      <c r="W32" s="8" t="s">
        <v>381</v>
      </c>
      <c r="X32" s="8" t="s">
        <v>189</v>
      </c>
      <c r="Y32" s="8" t="s">
        <v>368</v>
      </c>
    </row>
    <row r="33" spans="1:25" x14ac:dyDescent="0.25">
      <c r="A33" s="8" t="s">
        <v>114</v>
      </c>
      <c r="B33" s="8" t="s">
        <v>60</v>
      </c>
      <c r="C33" s="8">
        <v>3</v>
      </c>
      <c r="D33" s="8" t="s">
        <v>387</v>
      </c>
      <c r="E33" s="8" t="s">
        <v>15</v>
      </c>
      <c r="F33" s="8" t="s">
        <v>184</v>
      </c>
      <c r="G33" s="17">
        <v>0</v>
      </c>
      <c r="H33" s="17">
        <v>0</v>
      </c>
      <c r="I33" s="8" t="s">
        <v>428</v>
      </c>
      <c r="J33" s="10">
        <v>26.3</v>
      </c>
      <c r="K33" s="10">
        <v>28.6</v>
      </c>
      <c r="L33" s="10">
        <v>7.9</v>
      </c>
      <c r="M33" s="10">
        <v>5.78</v>
      </c>
      <c r="N33" s="10">
        <f t="shared" si="0"/>
        <v>0.91958041958041958</v>
      </c>
      <c r="O33" s="10">
        <f t="shared" si="1"/>
        <v>3.6202531645569622</v>
      </c>
      <c r="P33" s="8" t="s">
        <v>434</v>
      </c>
      <c r="Q33" s="8" t="s">
        <v>354</v>
      </c>
      <c r="R33" s="10">
        <v>5.4</v>
      </c>
      <c r="S33" s="10">
        <v>16.3</v>
      </c>
      <c r="T33" s="10">
        <v>102</v>
      </c>
      <c r="U33" s="10">
        <v>67</v>
      </c>
      <c r="V33" s="8">
        <v>3</v>
      </c>
      <c r="W33" s="8" t="s">
        <v>375</v>
      </c>
      <c r="X33" s="8" t="s">
        <v>186</v>
      </c>
      <c r="Y33" s="8" t="s">
        <v>364</v>
      </c>
    </row>
    <row r="34" spans="1:25" x14ac:dyDescent="0.25">
      <c r="A34" s="8" t="s">
        <v>115</v>
      </c>
      <c r="B34" s="8" t="s">
        <v>60</v>
      </c>
      <c r="C34" s="8">
        <v>3</v>
      </c>
      <c r="D34" s="8" t="s">
        <v>401</v>
      </c>
      <c r="E34" s="8" t="s">
        <v>21</v>
      </c>
      <c r="F34" s="8" t="s">
        <v>184</v>
      </c>
      <c r="G34" s="17">
        <v>0.9</v>
      </c>
      <c r="H34" s="17">
        <v>0</v>
      </c>
      <c r="I34" s="8" t="s">
        <v>431</v>
      </c>
      <c r="J34" s="10">
        <v>28.6</v>
      </c>
      <c r="K34" s="10">
        <v>24.5</v>
      </c>
      <c r="L34" s="10">
        <v>10.6</v>
      </c>
      <c r="M34" s="10">
        <v>5.71</v>
      </c>
      <c r="N34" s="10">
        <f t="shared" si="0"/>
        <v>1.1673469387755102</v>
      </c>
      <c r="O34" s="10">
        <f t="shared" si="1"/>
        <v>2.3113207547169812</v>
      </c>
      <c r="P34" s="8" t="s">
        <v>436</v>
      </c>
      <c r="Q34" s="8" t="s">
        <v>354</v>
      </c>
      <c r="R34" s="10">
        <v>8.6999999999999993</v>
      </c>
      <c r="S34" s="10">
        <v>18.899999999999999</v>
      </c>
      <c r="T34" s="10">
        <v>89</v>
      </c>
      <c r="V34" s="8">
        <v>2</v>
      </c>
      <c r="W34" s="8" t="s">
        <v>382</v>
      </c>
      <c r="X34" s="8" t="s">
        <v>187</v>
      </c>
      <c r="Y34" s="8" t="s">
        <v>366</v>
      </c>
    </row>
    <row r="35" spans="1:25" x14ac:dyDescent="0.25">
      <c r="A35" s="8" t="s">
        <v>116</v>
      </c>
      <c r="B35" s="8" t="s">
        <v>60</v>
      </c>
      <c r="C35" s="8">
        <v>3</v>
      </c>
      <c r="D35" s="8" t="s">
        <v>401</v>
      </c>
      <c r="E35" s="8" t="s">
        <v>15</v>
      </c>
      <c r="F35" s="8" t="s">
        <v>184</v>
      </c>
      <c r="G35" s="17">
        <v>0</v>
      </c>
      <c r="H35" s="17">
        <v>0.15</v>
      </c>
      <c r="I35" s="8" t="s">
        <v>428</v>
      </c>
      <c r="J35" s="10">
        <v>55</v>
      </c>
      <c r="K35" s="10">
        <v>32</v>
      </c>
      <c r="L35" s="10">
        <v>13.9</v>
      </c>
      <c r="M35" s="10">
        <v>22.74</v>
      </c>
      <c r="N35" s="10">
        <f t="shared" si="0"/>
        <v>1.71875</v>
      </c>
      <c r="O35" s="10">
        <f t="shared" si="1"/>
        <v>2.3021582733812949</v>
      </c>
      <c r="P35" s="8" t="s">
        <v>435</v>
      </c>
      <c r="Q35" s="8" t="s">
        <v>355</v>
      </c>
      <c r="R35" s="10">
        <v>9.1999999999999993</v>
      </c>
      <c r="S35" s="10">
        <v>20.7</v>
      </c>
      <c r="T35" s="10">
        <v>114</v>
      </c>
      <c r="U35" s="10">
        <v>67</v>
      </c>
      <c r="V35" s="8">
        <v>6</v>
      </c>
      <c r="W35" s="8" t="s">
        <v>381</v>
      </c>
      <c r="X35" s="8" t="s">
        <v>189</v>
      </c>
      <c r="Y35" s="8" t="s">
        <v>368</v>
      </c>
    </row>
    <row r="36" spans="1:25" x14ac:dyDescent="0.25">
      <c r="A36" s="8" t="s">
        <v>117</v>
      </c>
      <c r="B36" s="8" t="s">
        <v>60</v>
      </c>
      <c r="C36" s="8">
        <v>3</v>
      </c>
      <c r="D36" s="8" t="s">
        <v>386</v>
      </c>
      <c r="E36" s="8" t="s">
        <v>15</v>
      </c>
      <c r="F36" s="8" t="s">
        <v>184</v>
      </c>
      <c r="G36" s="17">
        <v>0</v>
      </c>
      <c r="H36" s="17">
        <v>0.05</v>
      </c>
      <c r="I36" s="8" t="s">
        <v>428</v>
      </c>
      <c r="J36" s="10">
        <v>33.700000000000003</v>
      </c>
      <c r="K36" s="10">
        <v>19.8</v>
      </c>
      <c r="L36" s="10">
        <v>18.399999999999999</v>
      </c>
      <c r="M36" s="10">
        <v>4.4000000000000004</v>
      </c>
      <c r="N36" s="10">
        <f t="shared" si="0"/>
        <v>1.7020202020202022</v>
      </c>
      <c r="O36" s="10">
        <f t="shared" si="1"/>
        <v>1.0760869565217392</v>
      </c>
      <c r="P36" s="8" t="s">
        <v>435</v>
      </c>
      <c r="Q36" s="8" t="s">
        <v>354</v>
      </c>
      <c r="R36" s="10">
        <v>15.4</v>
      </c>
      <c r="S36" s="10">
        <v>15.1</v>
      </c>
      <c r="T36" s="10">
        <v>113</v>
      </c>
      <c r="U36" s="10">
        <v>71</v>
      </c>
      <c r="V36" s="8">
        <v>4</v>
      </c>
      <c r="W36" s="8" t="s">
        <v>374</v>
      </c>
      <c r="X36" s="8" t="s">
        <v>186</v>
      </c>
      <c r="Y36" s="8" t="s">
        <v>365</v>
      </c>
    </row>
    <row r="37" spans="1:25" x14ac:dyDescent="0.25">
      <c r="A37" s="8" t="s">
        <v>118</v>
      </c>
      <c r="B37" s="8" t="s">
        <v>60</v>
      </c>
      <c r="C37" s="8">
        <v>3</v>
      </c>
      <c r="D37" s="8" t="s">
        <v>386</v>
      </c>
      <c r="E37" s="8" t="s">
        <v>15</v>
      </c>
      <c r="F37" s="8" t="s">
        <v>184</v>
      </c>
      <c r="G37" s="17">
        <v>0</v>
      </c>
      <c r="H37" s="17">
        <v>0</v>
      </c>
      <c r="I37" s="8" t="s">
        <v>428</v>
      </c>
      <c r="J37" s="10">
        <v>28</v>
      </c>
      <c r="K37" s="10">
        <v>21.6</v>
      </c>
      <c r="L37" s="10">
        <v>10.9</v>
      </c>
      <c r="M37" s="10">
        <v>2.6</v>
      </c>
      <c r="N37" s="10">
        <f t="shared" si="0"/>
        <v>1.2962962962962963</v>
      </c>
      <c r="O37" s="10">
        <f t="shared" si="1"/>
        <v>1.9816513761467891</v>
      </c>
      <c r="P37" s="8" t="s">
        <v>438</v>
      </c>
      <c r="Q37" s="8" t="s">
        <v>357</v>
      </c>
      <c r="R37" s="10">
        <v>10.9</v>
      </c>
      <c r="S37" s="10">
        <v>21.5</v>
      </c>
      <c r="T37" s="10">
        <v>92</v>
      </c>
      <c r="U37" s="10">
        <v>59</v>
      </c>
      <c r="V37" s="8">
        <v>2</v>
      </c>
      <c r="W37" s="8" t="s">
        <v>375</v>
      </c>
      <c r="X37" s="8" t="s">
        <v>189</v>
      </c>
      <c r="Y37" s="8" t="s">
        <v>364</v>
      </c>
    </row>
    <row r="38" spans="1:25" x14ac:dyDescent="0.25">
      <c r="A38" s="8" t="s">
        <v>119</v>
      </c>
      <c r="B38" s="8" t="s">
        <v>60</v>
      </c>
      <c r="C38" s="8">
        <v>3</v>
      </c>
      <c r="D38" s="8" t="s">
        <v>388</v>
      </c>
      <c r="E38" s="8" t="s">
        <v>15</v>
      </c>
      <c r="F38" s="8" t="s">
        <v>184</v>
      </c>
      <c r="G38" s="17">
        <v>0</v>
      </c>
      <c r="H38" s="17">
        <v>0.05</v>
      </c>
      <c r="I38" s="8" t="s">
        <v>428</v>
      </c>
      <c r="J38" s="10">
        <v>34.97</v>
      </c>
      <c r="K38" s="10">
        <v>32.1</v>
      </c>
      <c r="L38" s="10">
        <v>19.8</v>
      </c>
      <c r="M38" s="10">
        <v>18.760000000000002</v>
      </c>
      <c r="N38" s="10">
        <f t="shared" si="0"/>
        <v>1.0894080996884734</v>
      </c>
      <c r="O38" s="10">
        <f t="shared" si="1"/>
        <v>1.6212121212121213</v>
      </c>
      <c r="P38" s="8" t="s">
        <v>434</v>
      </c>
      <c r="Q38" s="8" t="s">
        <v>355</v>
      </c>
      <c r="R38" s="10">
        <v>11.2</v>
      </c>
      <c r="S38" s="10">
        <v>23.1</v>
      </c>
      <c r="T38" s="10">
        <v>123</v>
      </c>
      <c r="U38" s="10">
        <v>82</v>
      </c>
      <c r="V38" s="8">
        <v>3</v>
      </c>
      <c r="W38" s="8" t="s">
        <v>375</v>
      </c>
      <c r="X38" s="8" t="s">
        <v>189</v>
      </c>
      <c r="Y38" s="8" t="s">
        <v>364</v>
      </c>
    </row>
    <row r="39" spans="1:25" x14ac:dyDescent="0.25">
      <c r="A39" s="8" t="s">
        <v>120</v>
      </c>
      <c r="B39" s="8" t="s">
        <v>60</v>
      </c>
      <c r="C39" s="8">
        <v>3</v>
      </c>
      <c r="D39" s="8" t="s">
        <v>386</v>
      </c>
      <c r="E39" s="8" t="s">
        <v>15</v>
      </c>
      <c r="F39" s="8" t="s">
        <v>184</v>
      </c>
      <c r="G39" s="17">
        <v>0</v>
      </c>
      <c r="H39" s="17">
        <v>0</v>
      </c>
      <c r="I39" s="8" t="s">
        <v>428</v>
      </c>
      <c r="J39" s="10">
        <v>29.6</v>
      </c>
      <c r="K39" s="10">
        <v>25.9</v>
      </c>
      <c r="L39" s="10">
        <v>8.4</v>
      </c>
      <c r="M39" s="10">
        <v>5.1100000000000003</v>
      </c>
      <c r="N39" s="10">
        <f t="shared" si="0"/>
        <v>1.142857142857143</v>
      </c>
      <c r="O39" s="10">
        <f t="shared" si="1"/>
        <v>3.083333333333333</v>
      </c>
      <c r="P39" s="8" t="s">
        <v>434</v>
      </c>
      <c r="Q39" s="8" t="s">
        <v>355</v>
      </c>
      <c r="R39" s="10">
        <v>7.6</v>
      </c>
      <c r="S39" s="10">
        <v>16.7</v>
      </c>
      <c r="T39" s="10">
        <v>122</v>
      </c>
      <c r="U39" s="10">
        <v>66</v>
      </c>
      <c r="V39" s="8">
        <v>2</v>
      </c>
      <c r="W39" s="8" t="s">
        <v>375</v>
      </c>
      <c r="X39" s="8" t="s">
        <v>189</v>
      </c>
      <c r="Y39" s="8" t="s">
        <v>364</v>
      </c>
    </row>
    <row r="40" spans="1:25" x14ac:dyDescent="0.25">
      <c r="A40" s="8" t="s">
        <v>121</v>
      </c>
      <c r="B40" s="8" t="s">
        <v>60</v>
      </c>
      <c r="C40" s="8">
        <v>3</v>
      </c>
      <c r="D40" s="8" t="s">
        <v>387</v>
      </c>
      <c r="E40" s="8" t="s">
        <v>15</v>
      </c>
      <c r="F40" s="8" t="s">
        <v>184</v>
      </c>
      <c r="G40" s="17">
        <v>0</v>
      </c>
      <c r="H40" s="17">
        <v>0</v>
      </c>
      <c r="I40" s="8" t="s">
        <v>428</v>
      </c>
      <c r="J40" s="10">
        <v>35.31</v>
      </c>
      <c r="K40" s="10">
        <v>36.799999999999997</v>
      </c>
      <c r="L40" s="10">
        <v>11.9</v>
      </c>
      <c r="M40" s="10">
        <v>8.19</v>
      </c>
      <c r="N40" s="10">
        <f t="shared" si="0"/>
        <v>0.95951086956521747</v>
      </c>
      <c r="O40" s="10">
        <f t="shared" si="1"/>
        <v>3.0924369747899156</v>
      </c>
      <c r="P40" s="8" t="s">
        <v>438</v>
      </c>
      <c r="Q40" s="8" t="s">
        <v>355</v>
      </c>
      <c r="R40" s="10">
        <v>11</v>
      </c>
      <c r="S40" s="10">
        <v>25.3</v>
      </c>
      <c r="T40" s="10">
        <v>118</v>
      </c>
      <c r="U40" s="10">
        <v>75</v>
      </c>
      <c r="V40" s="8">
        <v>3</v>
      </c>
      <c r="W40" s="8" t="s">
        <v>374</v>
      </c>
      <c r="X40" s="8" t="s">
        <v>189</v>
      </c>
      <c r="Y40" s="8" t="s">
        <v>365</v>
      </c>
    </row>
    <row r="41" spans="1:25" x14ac:dyDescent="0.25">
      <c r="A41" s="8" t="s">
        <v>122</v>
      </c>
      <c r="B41" s="8" t="s">
        <v>60</v>
      </c>
      <c r="C41" s="8">
        <v>3</v>
      </c>
      <c r="D41" s="8" t="s">
        <v>386</v>
      </c>
      <c r="E41" s="8" t="s">
        <v>15</v>
      </c>
      <c r="F41" s="8" t="s">
        <v>184</v>
      </c>
      <c r="G41" s="17">
        <v>0.15</v>
      </c>
      <c r="H41" s="17">
        <v>0.1</v>
      </c>
      <c r="I41" s="8" t="s">
        <v>431</v>
      </c>
      <c r="J41" s="10">
        <v>44</v>
      </c>
      <c r="K41" s="10">
        <v>44.1</v>
      </c>
      <c r="L41" s="10">
        <v>13.9</v>
      </c>
      <c r="M41" s="10">
        <v>23.03</v>
      </c>
      <c r="N41" s="10">
        <f t="shared" si="0"/>
        <v>0.99773242630385484</v>
      </c>
      <c r="O41" s="10">
        <f t="shared" si="1"/>
        <v>3.1726618705035969</v>
      </c>
      <c r="P41" s="8" t="s">
        <v>436</v>
      </c>
      <c r="Q41" s="8" t="s">
        <v>355</v>
      </c>
      <c r="R41" s="10">
        <v>11.7</v>
      </c>
      <c r="S41" s="10">
        <v>26.5</v>
      </c>
      <c r="T41" s="10">
        <v>110</v>
      </c>
      <c r="U41" s="10">
        <v>66</v>
      </c>
      <c r="V41" s="8">
        <v>4</v>
      </c>
      <c r="W41" s="8" t="s">
        <v>375</v>
      </c>
      <c r="X41" s="8" t="s">
        <v>188</v>
      </c>
      <c r="Y41" s="8" t="s">
        <v>364</v>
      </c>
    </row>
    <row r="42" spans="1:25" x14ac:dyDescent="0.25">
      <c r="A42" s="8" t="s">
        <v>123</v>
      </c>
      <c r="B42" s="8" t="s">
        <v>60</v>
      </c>
      <c r="C42" s="8">
        <v>3</v>
      </c>
      <c r="D42" s="8" t="s">
        <v>386</v>
      </c>
      <c r="E42" s="8" t="s">
        <v>15</v>
      </c>
      <c r="F42" s="8" t="s">
        <v>184</v>
      </c>
      <c r="G42" s="17">
        <v>0</v>
      </c>
      <c r="H42" s="17">
        <v>0</v>
      </c>
      <c r="I42" s="8" t="s">
        <v>428</v>
      </c>
      <c r="J42" s="10">
        <v>24.2</v>
      </c>
      <c r="K42" s="10">
        <v>14.1</v>
      </c>
      <c r="L42" s="10">
        <v>8.3000000000000007</v>
      </c>
      <c r="M42" s="10">
        <v>1.51</v>
      </c>
      <c r="N42" s="10">
        <f t="shared" si="0"/>
        <v>1.7163120567375887</v>
      </c>
      <c r="O42" s="10">
        <f t="shared" si="1"/>
        <v>1.6987951807228914</v>
      </c>
      <c r="P42" s="8" t="s">
        <v>438</v>
      </c>
      <c r="Q42" s="8" t="s">
        <v>355</v>
      </c>
      <c r="R42" s="10">
        <v>7.8</v>
      </c>
      <c r="S42" s="10">
        <v>14.1</v>
      </c>
      <c r="T42" s="10">
        <v>100</v>
      </c>
      <c r="U42" s="10">
        <v>74</v>
      </c>
      <c r="V42" s="8">
        <v>3</v>
      </c>
      <c r="W42" s="8" t="s">
        <v>375</v>
      </c>
      <c r="X42" s="8" t="s">
        <v>359</v>
      </c>
      <c r="Y42" s="8" t="s">
        <v>364</v>
      </c>
    </row>
    <row r="43" spans="1:25" x14ac:dyDescent="0.25">
      <c r="A43" s="8" t="s">
        <v>124</v>
      </c>
      <c r="B43" s="8" t="s">
        <v>60</v>
      </c>
      <c r="C43" s="8">
        <v>3</v>
      </c>
      <c r="D43" s="8" t="s">
        <v>386</v>
      </c>
      <c r="E43" s="8" t="s">
        <v>21</v>
      </c>
      <c r="F43" s="8" t="s">
        <v>184</v>
      </c>
      <c r="G43" s="17">
        <v>0</v>
      </c>
      <c r="H43" s="17">
        <v>0</v>
      </c>
      <c r="I43" s="8" t="s">
        <v>428</v>
      </c>
      <c r="J43" s="10">
        <v>22.6</v>
      </c>
      <c r="K43" s="10">
        <v>22.4</v>
      </c>
      <c r="L43" s="10">
        <v>3</v>
      </c>
      <c r="M43" s="10">
        <v>1.29</v>
      </c>
      <c r="N43" s="10">
        <f t="shared" si="0"/>
        <v>1.0089285714285716</v>
      </c>
      <c r="O43" s="10">
        <f t="shared" si="1"/>
        <v>7.4666666666666659</v>
      </c>
      <c r="P43" s="8" t="s">
        <v>438</v>
      </c>
      <c r="Q43" s="8" t="s">
        <v>356</v>
      </c>
      <c r="V43" s="8">
        <v>1</v>
      </c>
      <c r="W43" s="8" t="s">
        <v>375</v>
      </c>
      <c r="X43" s="8" t="s">
        <v>189</v>
      </c>
      <c r="Y43" s="8" t="s">
        <v>364</v>
      </c>
    </row>
    <row r="44" spans="1:25" x14ac:dyDescent="0.25">
      <c r="A44" s="8" t="s">
        <v>125</v>
      </c>
      <c r="B44" s="8" t="s">
        <v>60</v>
      </c>
      <c r="C44" s="8">
        <v>3</v>
      </c>
      <c r="D44" s="8" t="s">
        <v>386</v>
      </c>
      <c r="E44" s="8" t="s">
        <v>15</v>
      </c>
      <c r="F44" s="8" t="s">
        <v>184</v>
      </c>
      <c r="G44" s="17">
        <v>0.2</v>
      </c>
      <c r="H44" s="17">
        <v>0</v>
      </c>
      <c r="I44" s="8" t="s">
        <v>431</v>
      </c>
      <c r="J44" s="10">
        <v>16.5</v>
      </c>
      <c r="K44" s="10">
        <v>20.100000000000001</v>
      </c>
      <c r="L44" s="10">
        <v>5.9</v>
      </c>
      <c r="M44" s="10">
        <v>1.45</v>
      </c>
      <c r="N44" s="10">
        <f t="shared" si="0"/>
        <v>0.82089552238805963</v>
      </c>
      <c r="O44" s="10">
        <f t="shared" si="1"/>
        <v>3.4067796610169494</v>
      </c>
      <c r="P44" s="8" t="s">
        <v>437</v>
      </c>
      <c r="Q44" s="8" t="s">
        <v>355</v>
      </c>
      <c r="R44" s="10">
        <v>2.6</v>
      </c>
      <c r="S44" s="10">
        <v>11.9</v>
      </c>
      <c r="T44" s="10">
        <v>123</v>
      </c>
      <c r="U44" s="10">
        <v>75</v>
      </c>
      <c r="V44" s="8">
        <v>3</v>
      </c>
      <c r="W44" s="8" t="s">
        <v>375</v>
      </c>
      <c r="X44" s="8" t="s">
        <v>360</v>
      </c>
      <c r="Y44" s="8" t="s">
        <v>364</v>
      </c>
    </row>
    <row r="45" spans="1:25" x14ac:dyDescent="0.25">
      <c r="A45" s="8" t="s">
        <v>54</v>
      </c>
      <c r="B45" s="8" t="s">
        <v>61</v>
      </c>
      <c r="C45" s="8">
        <v>2</v>
      </c>
      <c r="D45" s="8" t="s">
        <v>387</v>
      </c>
      <c r="E45" s="8" t="s">
        <v>15</v>
      </c>
      <c r="F45" s="8" t="s">
        <v>184</v>
      </c>
      <c r="G45" s="17">
        <v>0.4</v>
      </c>
      <c r="H45" s="17">
        <v>0</v>
      </c>
      <c r="I45" s="8" t="s">
        <v>430</v>
      </c>
      <c r="J45" s="10">
        <v>34.200000000000003</v>
      </c>
      <c r="K45" s="10">
        <v>37.799999999999997</v>
      </c>
      <c r="L45" s="10">
        <v>10.7</v>
      </c>
      <c r="M45" s="10">
        <v>9.7899999999999991</v>
      </c>
      <c r="N45" s="10">
        <f t="shared" si="0"/>
        <v>0.90476190476190488</v>
      </c>
      <c r="O45" s="10">
        <f t="shared" si="1"/>
        <v>3.5327102803738319</v>
      </c>
      <c r="P45" s="8" t="s">
        <v>437</v>
      </c>
      <c r="Q45" s="8" t="s">
        <v>354</v>
      </c>
      <c r="R45" s="10">
        <v>11</v>
      </c>
      <c r="S45" s="10">
        <v>24.8</v>
      </c>
      <c r="T45" s="10">
        <v>97</v>
      </c>
      <c r="U45" s="10">
        <v>62</v>
      </c>
      <c r="V45" s="8">
        <v>1</v>
      </c>
      <c r="W45" s="8" t="s">
        <v>375</v>
      </c>
      <c r="X45" s="8" t="s">
        <v>187</v>
      </c>
      <c r="Y45" s="8" t="s">
        <v>364</v>
      </c>
    </row>
    <row r="46" spans="1:25" x14ac:dyDescent="0.25">
      <c r="A46" s="8" t="s">
        <v>98</v>
      </c>
      <c r="B46" s="8" t="s">
        <v>61</v>
      </c>
      <c r="C46" s="8">
        <v>2</v>
      </c>
      <c r="D46" s="8" t="s">
        <v>386</v>
      </c>
      <c r="E46" s="8" t="s">
        <v>15</v>
      </c>
      <c r="F46" s="8" t="s">
        <v>184</v>
      </c>
      <c r="G46" s="17">
        <v>0.7</v>
      </c>
      <c r="H46" s="17">
        <v>0.2</v>
      </c>
      <c r="I46" s="8" t="s">
        <v>430</v>
      </c>
      <c r="J46" s="10">
        <v>46.9</v>
      </c>
      <c r="K46" s="10">
        <v>26.9</v>
      </c>
      <c r="L46" s="10">
        <v>15.9</v>
      </c>
      <c r="M46" s="10">
        <v>16.940000000000001</v>
      </c>
      <c r="N46" s="10">
        <f t="shared" si="0"/>
        <v>1.7434944237918215</v>
      </c>
      <c r="O46" s="10">
        <f t="shared" si="1"/>
        <v>1.691823899371069</v>
      </c>
      <c r="P46" s="8" t="s">
        <v>437</v>
      </c>
      <c r="Q46" s="8" t="s">
        <v>355</v>
      </c>
      <c r="R46" s="10">
        <v>19</v>
      </c>
      <c r="S46" s="10">
        <v>24.4</v>
      </c>
      <c r="T46" s="10">
        <v>117</v>
      </c>
      <c r="U46" s="10">
        <v>62</v>
      </c>
      <c r="V46" s="8">
        <v>1</v>
      </c>
      <c r="W46" s="8" t="s">
        <v>375</v>
      </c>
      <c r="X46" s="8" t="s">
        <v>188</v>
      </c>
      <c r="Y46" s="8" t="s">
        <v>364</v>
      </c>
    </row>
    <row r="47" spans="1:25" x14ac:dyDescent="0.25">
      <c r="A47" s="8" t="s">
        <v>55</v>
      </c>
      <c r="B47" s="8" t="s">
        <v>61</v>
      </c>
      <c r="C47" s="8">
        <v>2</v>
      </c>
      <c r="D47" s="8" t="s">
        <v>386</v>
      </c>
      <c r="E47" s="8" t="s">
        <v>15</v>
      </c>
      <c r="F47" s="8" t="s">
        <v>184</v>
      </c>
      <c r="G47" s="17">
        <v>0</v>
      </c>
      <c r="H47" s="17">
        <v>0</v>
      </c>
      <c r="I47" s="8" t="s">
        <v>428</v>
      </c>
      <c r="J47" s="10">
        <v>30.1</v>
      </c>
      <c r="K47" s="10">
        <v>39.4</v>
      </c>
      <c r="L47" s="10">
        <v>11.4</v>
      </c>
      <c r="M47" s="10">
        <v>12.04</v>
      </c>
      <c r="N47" s="10">
        <f t="shared" si="0"/>
        <v>0.76395939086294418</v>
      </c>
      <c r="O47" s="10">
        <f t="shared" si="1"/>
        <v>3.4561403508771926</v>
      </c>
      <c r="P47" s="8" t="s">
        <v>434</v>
      </c>
      <c r="Q47" s="8" t="s">
        <v>354</v>
      </c>
      <c r="R47" s="10">
        <v>10.4</v>
      </c>
      <c r="S47" s="10">
        <v>31.8</v>
      </c>
      <c r="T47" s="10">
        <v>107</v>
      </c>
      <c r="U47" s="10">
        <v>80</v>
      </c>
      <c r="V47" s="8">
        <v>2</v>
      </c>
      <c r="W47" s="8" t="s">
        <v>375</v>
      </c>
      <c r="X47" s="8" t="s">
        <v>186</v>
      </c>
      <c r="Y47" s="8" t="s">
        <v>364</v>
      </c>
    </row>
    <row r="48" spans="1:25" x14ac:dyDescent="0.25">
      <c r="A48" s="8" t="s">
        <v>126</v>
      </c>
      <c r="B48" s="8" t="s">
        <v>61</v>
      </c>
      <c r="C48" s="8">
        <v>2</v>
      </c>
      <c r="D48" s="8" t="s">
        <v>386</v>
      </c>
      <c r="E48" s="8" t="s">
        <v>21</v>
      </c>
      <c r="F48" s="8" t="s">
        <v>184</v>
      </c>
      <c r="G48" s="17">
        <v>0</v>
      </c>
      <c r="H48" s="17">
        <v>0</v>
      </c>
      <c r="I48" s="8" t="s">
        <v>428</v>
      </c>
      <c r="J48" s="10">
        <v>18.100000000000001</v>
      </c>
      <c r="K48" s="10">
        <v>23.4</v>
      </c>
      <c r="L48" s="10">
        <v>5.9</v>
      </c>
      <c r="M48" s="10">
        <v>2.5</v>
      </c>
      <c r="N48" s="10">
        <f t="shared" si="0"/>
        <v>0.77350427350427364</v>
      </c>
      <c r="O48" s="10">
        <f t="shared" si="1"/>
        <v>3.9661016949152539</v>
      </c>
      <c r="P48" s="8" t="s">
        <v>437</v>
      </c>
      <c r="Q48" s="8" t="s">
        <v>354</v>
      </c>
      <c r="R48" s="10">
        <v>5.9</v>
      </c>
      <c r="S48" s="10">
        <v>23</v>
      </c>
      <c r="T48" s="10">
        <v>92</v>
      </c>
      <c r="U48" s="10">
        <v>81</v>
      </c>
      <c r="V48" s="8">
        <v>0</v>
      </c>
      <c r="W48" s="8" t="s">
        <v>380</v>
      </c>
      <c r="X48" s="8" t="s">
        <v>361</v>
      </c>
      <c r="Y48" s="8" t="s">
        <v>372</v>
      </c>
    </row>
    <row r="49" spans="1:25" x14ac:dyDescent="0.25">
      <c r="A49" s="8" t="s">
        <v>127</v>
      </c>
      <c r="B49" s="8" t="s">
        <v>61</v>
      </c>
      <c r="C49" s="8">
        <v>2</v>
      </c>
      <c r="D49" s="8" t="s">
        <v>386</v>
      </c>
      <c r="E49" s="8" t="s">
        <v>15</v>
      </c>
      <c r="F49" s="8" t="s">
        <v>184</v>
      </c>
      <c r="G49" s="17">
        <v>0.1</v>
      </c>
      <c r="H49" s="17">
        <v>0</v>
      </c>
      <c r="I49" s="8" t="s">
        <v>431</v>
      </c>
      <c r="J49" s="10">
        <v>41.6</v>
      </c>
      <c r="K49" s="10">
        <v>43.5</v>
      </c>
      <c r="L49" s="10">
        <v>12.2</v>
      </c>
      <c r="M49" s="10">
        <v>17.04</v>
      </c>
      <c r="N49" s="10">
        <f t="shared" si="0"/>
        <v>0.95632183908045976</v>
      </c>
      <c r="O49" s="10">
        <f t="shared" si="1"/>
        <v>3.5655737704918034</v>
      </c>
      <c r="P49" s="8" t="s">
        <v>437</v>
      </c>
      <c r="Q49" s="8" t="s">
        <v>354</v>
      </c>
      <c r="R49" s="10">
        <v>11.6</v>
      </c>
      <c r="S49" s="10">
        <v>30.1</v>
      </c>
      <c r="T49" s="10">
        <v>113</v>
      </c>
      <c r="U49" s="10">
        <v>63</v>
      </c>
      <c r="V49" s="8">
        <v>3</v>
      </c>
      <c r="W49" s="8" t="s">
        <v>375</v>
      </c>
      <c r="X49" s="8" t="s">
        <v>187</v>
      </c>
      <c r="Y49" s="8" t="s">
        <v>364</v>
      </c>
    </row>
    <row r="50" spans="1:25" x14ac:dyDescent="0.25">
      <c r="A50" s="8" t="s">
        <v>100</v>
      </c>
      <c r="B50" s="8" t="s">
        <v>61</v>
      </c>
      <c r="C50" s="8">
        <v>2</v>
      </c>
      <c r="D50" s="8" t="s">
        <v>401</v>
      </c>
      <c r="E50" s="8" t="s">
        <v>15</v>
      </c>
      <c r="F50" s="8" t="s">
        <v>184</v>
      </c>
      <c r="G50" s="17">
        <v>0</v>
      </c>
      <c r="H50" s="17">
        <v>0</v>
      </c>
      <c r="I50" s="8" t="s">
        <v>431</v>
      </c>
      <c r="J50" s="10">
        <v>23.4</v>
      </c>
      <c r="K50" s="10">
        <v>28.8</v>
      </c>
      <c r="L50" s="10">
        <v>11.9</v>
      </c>
      <c r="M50" s="10">
        <v>4.1399999999999997</v>
      </c>
      <c r="N50" s="10">
        <f t="shared" si="0"/>
        <v>0.81249999999999989</v>
      </c>
      <c r="O50" s="10">
        <f t="shared" si="1"/>
        <v>2.4201680672268906</v>
      </c>
      <c r="P50" s="8" t="s">
        <v>437</v>
      </c>
      <c r="Q50" s="8" t="s">
        <v>354</v>
      </c>
      <c r="R50" s="10">
        <v>4.9000000000000004</v>
      </c>
      <c r="S50" s="10">
        <v>15.3</v>
      </c>
      <c r="T50" s="10">
        <v>115</v>
      </c>
      <c r="U50" s="10">
        <v>74</v>
      </c>
      <c r="V50" s="8">
        <v>2</v>
      </c>
      <c r="W50" s="8" t="s">
        <v>375</v>
      </c>
      <c r="X50" s="8" t="s">
        <v>187</v>
      </c>
      <c r="Y50" s="8" t="s">
        <v>364</v>
      </c>
    </row>
    <row r="51" spans="1:25" x14ac:dyDescent="0.25">
      <c r="A51" s="8" t="s">
        <v>128</v>
      </c>
      <c r="B51" s="8" t="s">
        <v>61</v>
      </c>
      <c r="C51" s="8">
        <v>2</v>
      </c>
      <c r="D51" s="8" t="s">
        <v>387</v>
      </c>
      <c r="E51" s="8" t="s">
        <v>15</v>
      </c>
      <c r="F51" s="8" t="s">
        <v>184</v>
      </c>
      <c r="G51" s="17">
        <v>0</v>
      </c>
      <c r="H51" s="17">
        <v>0</v>
      </c>
      <c r="I51" s="8" t="s">
        <v>428</v>
      </c>
      <c r="J51" s="10">
        <v>33.299999999999997</v>
      </c>
      <c r="K51" s="10">
        <v>53.8</v>
      </c>
      <c r="L51" s="10">
        <v>10.5</v>
      </c>
      <c r="M51" s="10">
        <v>19.02</v>
      </c>
      <c r="N51" s="10">
        <f t="shared" si="0"/>
        <v>0.61895910780669139</v>
      </c>
      <c r="O51" s="10">
        <f t="shared" si="1"/>
        <v>5.1238095238095234</v>
      </c>
      <c r="P51" s="8" t="s">
        <v>437</v>
      </c>
      <c r="Q51" s="8" t="s">
        <v>354</v>
      </c>
      <c r="R51" s="10">
        <v>7.7</v>
      </c>
      <c r="S51" s="10">
        <v>32.799999999999997</v>
      </c>
      <c r="T51" s="10">
        <v>112</v>
      </c>
      <c r="U51" s="10">
        <v>75</v>
      </c>
      <c r="V51" s="8">
        <v>3</v>
      </c>
      <c r="W51" s="8" t="s">
        <v>375</v>
      </c>
      <c r="X51" s="8" t="s">
        <v>361</v>
      </c>
      <c r="Y51" s="8" t="s">
        <v>364</v>
      </c>
    </row>
    <row r="52" spans="1:25" x14ac:dyDescent="0.25">
      <c r="A52" s="8" t="s">
        <v>45</v>
      </c>
      <c r="B52" s="8" t="s">
        <v>61</v>
      </c>
      <c r="C52" s="8">
        <v>2</v>
      </c>
      <c r="D52" s="8" t="s">
        <v>387</v>
      </c>
      <c r="E52" s="8" t="s">
        <v>21</v>
      </c>
      <c r="F52" s="8" t="s">
        <v>184</v>
      </c>
      <c r="G52" s="17">
        <v>0</v>
      </c>
      <c r="H52" s="17">
        <v>0</v>
      </c>
      <c r="I52" s="8" t="s">
        <v>428</v>
      </c>
      <c r="J52" s="10">
        <v>46.9</v>
      </c>
      <c r="K52" s="10">
        <v>34.5</v>
      </c>
      <c r="L52" s="10">
        <v>18.5</v>
      </c>
      <c r="M52" s="10">
        <v>30</v>
      </c>
      <c r="N52" s="10">
        <f t="shared" si="0"/>
        <v>1.3594202898550725</v>
      </c>
      <c r="O52" s="10">
        <f t="shared" si="1"/>
        <v>1.8648648648648649</v>
      </c>
      <c r="P52" s="8" t="s">
        <v>437</v>
      </c>
      <c r="Q52" s="8" t="s">
        <v>354</v>
      </c>
      <c r="R52" s="10">
        <v>14.4</v>
      </c>
      <c r="S52" s="10">
        <v>20.6</v>
      </c>
      <c r="T52" s="10">
        <v>100</v>
      </c>
      <c r="U52" s="10">
        <v>78</v>
      </c>
      <c r="V52" s="8">
        <v>3</v>
      </c>
      <c r="W52" s="8" t="s">
        <v>375</v>
      </c>
      <c r="X52" s="8" t="s">
        <v>186</v>
      </c>
      <c r="Y52" s="8" t="s">
        <v>364</v>
      </c>
    </row>
    <row r="53" spans="1:25" x14ac:dyDescent="0.25">
      <c r="A53" s="8" t="s">
        <v>129</v>
      </c>
      <c r="B53" s="8" t="s">
        <v>61</v>
      </c>
      <c r="C53" s="8">
        <v>2</v>
      </c>
      <c r="D53" s="8" t="s">
        <v>386</v>
      </c>
      <c r="E53" s="8" t="s">
        <v>15</v>
      </c>
      <c r="F53" s="8" t="s">
        <v>184</v>
      </c>
      <c r="G53" s="17">
        <v>0</v>
      </c>
      <c r="H53" s="17">
        <v>0</v>
      </c>
      <c r="I53" s="8" t="s">
        <v>428</v>
      </c>
      <c r="J53" s="10">
        <v>13.3</v>
      </c>
      <c r="K53" s="10">
        <v>19.899999999999999</v>
      </c>
      <c r="L53" s="10">
        <v>3.7</v>
      </c>
      <c r="M53" s="10">
        <v>1.03</v>
      </c>
      <c r="N53" s="10">
        <f t="shared" si="0"/>
        <v>0.66834170854271369</v>
      </c>
      <c r="O53" s="10">
        <f t="shared" si="1"/>
        <v>5.3783783783783781</v>
      </c>
      <c r="P53" s="8" t="s">
        <v>437</v>
      </c>
      <c r="Q53" s="8" t="s">
        <v>354</v>
      </c>
      <c r="R53" s="10">
        <v>2.2000000000000002</v>
      </c>
      <c r="S53" s="10">
        <v>13.6</v>
      </c>
      <c r="T53" s="10">
        <v>107</v>
      </c>
      <c r="U53" s="10">
        <v>81</v>
      </c>
      <c r="V53" s="8">
        <v>3</v>
      </c>
      <c r="W53" s="8" t="s">
        <v>375</v>
      </c>
      <c r="X53" s="8" t="s">
        <v>361</v>
      </c>
      <c r="Y53" s="8" t="s">
        <v>364</v>
      </c>
    </row>
    <row r="54" spans="1:25" x14ac:dyDescent="0.25">
      <c r="A54" s="8" t="s">
        <v>130</v>
      </c>
      <c r="B54" s="8" t="s">
        <v>61</v>
      </c>
      <c r="C54" s="8">
        <v>2</v>
      </c>
      <c r="D54" s="8" t="s">
        <v>386</v>
      </c>
      <c r="E54" s="8" t="s">
        <v>21</v>
      </c>
      <c r="F54" s="8" t="s">
        <v>184</v>
      </c>
      <c r="G54" s="17">
        <v>0</v>
      </c>
      <c r="H54" s="17">
        <v>0.2</v>
      </c>
      <c r="I54" s="8" t="s">
        <v>428</v>
      </c>
      <c r="J54" s="10">
        <v>22.9</v>
      </c>
      <c r="K54" s="10">
        <v>18.100000000000001</v>
      </c>
      <c r="L54" s="10">
        <v>7.5</v>
      </c>
      <c r="M54" s="10">
        <v>2.0099999999999998</v>
      </c>
      <c r="N54" s="10">
        <f t="shared" si="0"/>
        <v>1.2651933701657456</v>
      </c>
      <c r="O54" s="10">
        <f t="shared" si="1"/>
        <v>2.4133333333333336</v>
      </c>
      <c r="P54" s="8" t="s">
        <v>437</v>
      </c>
      <c r="Q54" s="8" t="s">
        <v>355</v>
      </c>
      <c r="R54" s="10">
        <v>6.9</v>
      </c>
      <c r="S54" s="10">
        <v>16.3</v>
      </c>
      <c r="T54" s="10">
        <v>101</v>
      </c>
      <c r="U54" s="10">
        <v>56</v>
      </c>
      <c r="V54" s="8">
        <v>2</v>
      </c>
      <c r="W54" s="8" t="s">
        <v>375</v>
      </c>
      <c r="X54" s="8" t="s">
        <v>189</v>
      </c>
      <c r="Y54" s="8" t="s">
        <v>364</v>
      </c>
    </row>
    <row r="55" spans="1:25" x14ac:dyDescent="0.25">
      <c r="A55" s="8" t="s">
        <v>131</v>
      </c>
      <c r="B55" s="8" t="s">
        <v>61</v>
      </c>
      <c r="C55" s="8">
        <v>3</v>
      </c>
      <c r="D55" s="8" t="s">
        <v>386</v>
      </c>
      <c r="E55" s="8" t="s">
        <v>15</v>
      </c>
      <c r="F55" s="8" t="s">
        <v>184</v>
      </c>
      <c r="G55" s="17">
        <v>0.85</v>
      </c>
      <c r="H55" s="17">
        <v>0.15</v>
      </c>
      <c r="I55" s="8" t="s">
        <v>429</v>
      </c>
      <c r="J55" s="10">
        <v>50.3</v>
      </c>
      <c r="K55" s="10">
        <v>54.9</v>
      </c>
      <c r="L55" s="10">
        <v>14.1</v>
      </c>
      <c r="M55" s="10">
        <v>42.57</v>
      </c>
      <c r="N55" s="10">
        <f t="shared" si="0"/>
        <v>0.91621129326047357</v>
      </c>
      <c r="O55" s="10">
        <f t="shared" si="1"/>
        <v>3.8936170212765959</v>
      </c>
      <c r="P55" s="8" t="s">
        <v>437</v>
      </c>
      <c r="Q55" s="8" t="s">
        <v>356</v>
      </c>
      <c r="V55" s="8">
        <v>0</v>
      </c>
      <c r="W55" s="8" t="s">
        <v>378</v>
      </c>
      <c r="X55" s="8" t="s">
        <v>190</v>
      </c>
      <c r="Y55" s="8" t="s">
        <v>369</v>
      </c>
    </row>
    <row r="56" spans="1:25" x14ac:dyDescent="0.25">
      <c r="A56" s="8" t="s">
        <v>132</v>
      </c>
      <c r="B56" s="8" t="s">
        <v>61</v>
      </c>
      <c r="C56" s="8">
        <v>3</v>
      </c>
      <c r="D56" s="8" t="s">
        <v>386</v>
      </c>
      <c r="E56" s="8" t="s">
        <v>21</v>
      </c>
      <c r="F56" s="8" t="s">
        <v>184</v>
      </c>
      <c r="G56" s="17">
        <v>0.45</v>
      </c>
      <c r="H56" s="17">
        <v>0</v>
      </c>
      <c r="I56" s="8" t="s">
        <v>430</v>
      </c>
      <c r="J56" s="10">
        <v>37.1</v>
      </c>
      <c r="K56" s="10">
        <v>16.899999999999999</v>
      </c>
      <c r="L56" s="10">
        <v>5.3</v>
      </c>
      <c r="M56" s="10">
        <v>2.99</v>
      </c>
      <c r="N56" s="10">
        <f t="shared" si="0"/>
        <v>2.1952662721893494</v>
      </c>
      <c r="O56" s="10">
        <f t="shared" si="1"/>
        <v>3.1886792452830188</v>
      </c>
      <c r="P56" s="8" t="s">
        <v>437</v>
      </c>
      <c r="Q56" s="8" t="s">
        <v>355</v>
      </c>
      <c r="R56" s="10">
        <v>3.4</v>
      </c>
      <c r="S56" s="10">
        <v>6</v>
      </c>
      <c r="T56" s="10">
        <v>112</v>
      </c>
      <c r="U56" s="10">
        <v>73</v>
      </c>
      <c r="V56" s="8">
        <v>1</v>
      </c>
      <c r="W56" s="8" t="s">
        <v>375</v>
      </c>
      <c r="X56" s="8" t="s">
        <v>360</v>
      </c>
      <c r="Y56" s="8" t="s">
        <v>364</v>
      </c>
    </row>
    <row r="57" spans="1:25" x14ac:dyDescent="0.25">
      <c r="A57" s="8" t="s">
        <v>133</v>
      </c>
      <c r="B57" s="8" t="s">
        <v>61</v>
      </c>
      <c r="C57" s="8">
        <v>3</v>
      </c>
      <c r="D57" s="8" t="s">
        <v>386</v>
      </c>
      <c r="E57" s="8" t="s">
        <v>15</v>
      </c>
      <c r="F57" s="8" t="s">
        <v>184</v>
      </c>
      <c r="G57" s="17">
        <v>0</v>
      </c>
      <c r="H57" s="17">
        <v>0</v>
      </c>
      <c r="I57" s="8" t="s">
        <v>428</v>
      </c>
      <c r="J57" s="10">
        <v>34.700000000000003</v>
      </c>
      <c r="K57" s="10">
        <v>34.200000000000003</v>
      </c>
      <c r="L57" s="10">
        <v>11.8</v>
      </c>
      <c r="M57" s="10">
        <v>12.38</v>
      </c>
      <c r="N57" s="10">
        <f t="shared" si="0"/>
        <v>1.0146198830409356</v>
      </c>
      <c r="O57" s="10">
        <f t="shared" si="1"/>
        <v>2.898305084745763</v>
      </c>
      <c r="P57" s="8" t="s">
        <v>438</v>
      </c>
      <c r="Q57" s="8" t="s">
        <v>354</v>
      </c>
      <c r="R57" s="10">
        <v>10.4</v>
      </c>
      <c r="S57" s="10">
        <v>28.8</v>
      </c>
      <c r="T57" s="10">
        <v>105</v>
      </c>
      <c r="U57" s="10">
        <v>83</v>
      </c>
      <c r="V57" s="8">
        <v>3</v>
      </c>
      <c r="W57" s="8" t="s">
        <v>375</v>
      </c>
      <c r="X57" s="8" t="s">
        <v>186</v>
      </c>
      <c r="Y57" s="8" t="s">
        <v>364</v>
      </c>
    </row>
    <row r="58" spans="1:25" x14ac:dyDescent="0.25">
      <c r="A58" s="8" t="s">
        <v>134</v>
      </c>
      <c r="B58" s="8" t="s">
        <v>61</v>
      </c>
      <c r="C58" s="8">
        <v>3</v>
      </c>
      <c r="D58" s="8" t="s">
        <v>387</v>
      </c>
      <c r="E58" s="8" t="s">
        <v>21</v>
      </c>
      <c r="F58" s="8" t="s">
        <v>184</v>
      </c>
      <c r="G58" s="17">
        <v>1</v>
      </c>
      <c r="H58" s="17">
        <v>0</v>
      </c>
      <c r="I58" s="8" t="s">
        <v>429</v>
      </c>
      <c r="J58" s="10">
        <v>62</v>
      </c>
      <c r="K58" s="10">
        <v>57.9</v>
      </c>
      <c r="L58" s="10">
        <v>16.5</v>
      </c>
      <c r="M58" s="10">
        <v>58.87</v>
      </c>
      <c r="N58" s="10">
        <f t="shared" si="0"/>
        <v>1.0708117443868739</v>
      </c>
      <c r="O58" s="10">
        <f t="shared" si="1"/>
        <v>3.5090909090909088</v>
      </c>
      <c r="P58" s="8" t="s">
        <v>437</v>
      </c>
      <c r="Q58" s="8" t="s">
        <v>354</v>
      </c>
      <c r="V58" s="8">
        <v>0</v>
      </c>
      <c r="W58" s="8" t="s">
        <v>378</v>
      </c>
      <c r="X58" s="8" t="s">
        <v>190</v>
      </c>
      <c r="Y58" s="8" t="s">
        <v>369</v>
      </c>
    </row>
    <row r="59" spans="1:25" x14ac:dyDescent="0.25">
      <c r="A59" s="8" t="s">
        <v>51</v>
      </c>
      <c r="B59" s="8" t="s">
        <v>61</v>
      </c>
      <c r="C59" s="8">
        <v>3</v>
      </c>
      <c r="D59" s="8" t="s">
        <v>386</v>
      </c>
      <c r="E59" s="8" t="s">
        <v>21</v>
      </c>
      <c r="F59" s="8" t="s">
        <v>184</v>
      </c>
      <c r="G59" s="17">
        <v>0.4</v>
      </c>
      <c r="H59" s="17">
        <v>0.05</v>
      </c>
      <c r="I59" s="8" t="s">
        <v>430</v>
      </c>
      <c r="J59" s="10">
        <v>35</v>
      </c>
      <c r="K59" s="10">
        <v>19.899999999999999</v>
      </c>
      <c r="L59" s="10">
        <v>7.4</v>
      </c>
      <c r="M59" s="10">
        <v>4.22</v>
      </c>
      <c r="N59" s="10">
        <f t="shared" si="0"/>
        <v>1.7587939698492463</v>
      </c>
      <c r="O59" s="10">
        <f t="shared" si="1"/>
        <v>2.689189189189189</v>
      </c>
      <c r="P59" s="8" t="s">
        <v>438</v>
      </c>
      <c r="Q59" s="8" t="s">
        <v>355</v>
      </c>
      <c r="R59" s="10">
        <v>3.3</v>
      </c>
      <c r="S59" s="10">
        <v>11.1</v>
      </c>
      <c r="T59" s="10">
        <v>118</v>
      </c>
      <c r="U59" s="10">
        <v>73</v>
      </c>
      <c r="V59" s="8">
        <v>2</v>
      </c>
      <c r="W59" s="8" t="s">
        <v>375</v>
      </c>
      <c r="X59" s="8" t="s">
        <v>188</v>
      </c>
      <c r="Y59" s="8" t="s">
        <v>364</v>
      </c>
    </row>
    <row r="60" spans="1:25" x14ac:dyDescent="0.25">
      <c r="A60" s="8" t="s">
        <v>135</v>
      </c>
      <c r="B60" s="8" t="s">
        <v>61</v>
      </c>
      <c r="C60" s="8">
        <v>3</v>
      </c>
      <c r="D60" s="8" t="s">
        <v>387</v>
      </c>
      <c r="E60" s="8" t="s">
        <v>21</v>
      </c>
      <c r="F60" s="8" t="s">
        <v>184</v>
      </c>
      <c r="G60" s="17">
        <v>0</v>
      </c>
      <c r="H60" s="17">
        <v>0</v>
      </c>
      <c r="I60" s="8" t="s">
        <v>428</v>
      </c>
      <c r="J60" s="10">
        <v>28.2</v>
      </c>
      <c r="K60" s="10">
        <v>19.2</v>
      </c>
      <c r="L60" s="10">
        <v>5.5</v>
      </c>
      <c r="M60" s="10">
        <v>2.0499999999999998</v>
      </c>
      <c r="N60" s="10">
        <f t="shared" si="0"/>
        <v>1.46875</v>
      </c>
      <c r="O60" s="10">
        <f t="shared" si="1"/>
        <v>3.4909090909090907</v>
      </c>
      <c r="P60" s="8" t="s">
        <v>434</v>
      </c>
      <c r="Q60" s="8" t="s">
        <v>355</v>
      </c>
      <c r="R60" s="10">
        <v>4.7</v>
      </c>
      <c r="S60" s="10">
        <v>8.6</v>
      </c>
      <c r="T60" s="10">
        <v>113</v>
      </c>
      <c r="U60" s="10">
        <v>74</v>
      </c>
      <c r="V60" s="8">
        <v>1</v>
      </c>
      <c r="W60" s="8" t="s">
        <v>375</v>
      </c>
      <c r="X60" s="8" t="s">
        <v>189</v>
      </c>
      <c r="Y60" s="8" t="s">
        <v>364</v>
      </c>
    </row>
    <row r="61" spans="1:25" x14ac:dyDescent="0.25">
      <c r="A61" s="8" t="s">
        <v>136</v>
      </c>
      <c r="B61" s="8" t="s">
        <v>61</v>
      </c>
      <c r="C61" s="8">
        <v>3</v>
      </c>
      <c r="D61" s="8" t="s">
        <v>386</v>
      </c>
      <c r="E61" s="8" t="s">
        <v>15</v>
      </c>
      <c r="F61" s="8" t="s">
        <v>184</v>
      </c>
      <c r="G61" s="17">
        <v>0</v>
      </c>
      <c r="H61" s="17">
        <v>0</v>
      </c>
      <c r="I61" s="8" t="s">
        <v>428</v>
      </c>
      <c r="J61" s="10">
        <v>26.6</v>
      </c>
      <c r="K61" s="10">
        <v>28.7</v>
      </c>
      <c r="L61" s="10">
        <v>7.8</v>
      </c>
      <c r="M61" s="10">
        <v>4.71</v>
      </c>
      <c r="N61" s="10">
        <f t="shared" si="0"/>
        <v>0.92682926829268297</v>
      </c>
      <c r="O61" s="10">
        <f t="shared" si="1"/>
        <v>3.6794871794871793</v>
      </c>
      <c r="P61" s="8" t="s">
        <v>436</v>
      </c>
      <c r="Q61" s="8" t="s">
        <v>354</v>
      </c>
      <c r="R61" s="10">
        <v>5.9</v>
      </c>
      <c r="S61" s="10">
        <v>23.8</v>
      </c>
      <c r="T61" s="10">
        <v>96</v>
      </c>
      <c r="U61" s="10">
        <v>80</v>
      </c>
      <c r="V61" s="8">
        <v>2</v>
      </c>
      <c r="W61" s="8" t="s">
        <v>375</v>
      </c>
      <c r="X61" s="8" t="s">
        <v>186</v>
      </c>
      <c r="Y61" s="8" t="s">
        <v>364</v>
      </c>
    </row>
    <row r="62" spans="1:25" x14ac:dyDescent="0.25">
      <c r="A62" s="8" t="s">
        <v>137</v>
      </c>
      <c r="B62" s="8" t="s">
        <v>61</v>
      </c>
      <c r="C62" s="8">
        <v>3</v>
      </c>
      <c r="D62" s="8" t="s">
        <v>386</v>
      </c>
      <c r="E62" s="8" t="s">
        <v>15</v>
      </c>
      <c r="F62" s="8" t="s">
        <v>184</v>
      </c>
      <c r="G62" s="17">
        <v>0.35</v>
      </c>
      <c r="H62" s="17">
        <v>0</v>
      </c>
      <c r="I62" s="8" t="s">
        <v>430</v>
      </c>
      <c r="J62" s="10">
        <v>35.700000000000003</v>
      </c>
      <c r="K62" s="10">
        <v>21.4</v>
      </c>
      <c r="L62" s="10">
        <v>9.1</v>
      </c>
      <c r="M62" s="10">
        <v>6.99</v>
      </c>
      <c r="N62" s="10">
        <f t="shared" si="0"/>
        <v>1.6682242990654208</v>
      </c>
      <c r="O62" s="10">
        <f t="shared" si="1"/>
        <v>2.3516483516483517</v>
      </c>
      <c r="P62" s="8" t="s">
        <v>434</v>
      </c>
      <c r="Q62" s="8" t="s">
        <v>354</v>
      </c>
      <c r="R62" s="10">
        <v>10.9</v>
      </c>
      <c r="S62" s="10">
        <v>13.8</v>
      </c>
      <c r="T62" s="10">
        <v>109</v>
      </c>
      <c r="U62" s="10">
        <v>59</v>
      </c>
      <c r="V62" s="8">
        <v>1</v>
      </c>
      <c r="W62" s="8" t="s">
        <v>375</v>
      </c>
      <c r="X62" s="8" t="s">
        <v>187</v>
      </c>
      <c r="Y62" s="8" t="s">
        <v>364</v>
      </c>
    </row>
    <row r="63" spans="1:25" x14ac:dyDescent="0.25">
      <c r="A63" s="8" t="s">
        <v>46</v>
      </c>
      <c r="B63" s="8" t="s">
        <v>61</v>
      </c>
      <c r="C63" s="8">
        <v>3</v>
      </c>
      <c r="D63" s="8" t="s">
        <v>387</v>
      </c>
      <c r="E63" s="8" t="s">
        <v>15</v>
      </c>
      <c r="F63" s="8" t="s">
        <v>184</v>
      </c>
      <c r="G63" s="17">
        <v>0.35</v>
      </c>
      <c r="H63" s="17">
        <v>0</v>
      </c>
      <c r="I63" s="8" t="s">
        <v>430</v>
      </c>
      <c r="J63" s="10">
        <v>22.5</v>
      </c>
      <c r="K63" s="10">
        <v>32.5</v>
      </c>
      <c r="L63" s="10">
        <v>11.5</v>
      </c>
      <c r="M63" s="10">
        <v>4.07</v>
      </c>
      <c r="N63" s="10">
        <f t="shared" si="0"/>
        <v>0.69230769230769229</v>
      </c>
      <c r="O63" s="10">
        <f t="shared" si="1"/>
        <v>2.8260869565217392</v>
      </c>
      <c r="P63" s="8" t="s">
        <v>434</v>
      </c>
      <c r="Q63" s="8" t="s">
        <v>355</v>
      </c>
      <c r="R63" s="10">
        <v>7.7</v>
      </c>
      <c r="S63" s="10">
        <v>18.600000000000001</v>
      </c>
      <c r="T63" s="10">
        <v>106</v>
      </c>
      <c r="U63" s="10">
        <v>75</v>
      </c>
      <c r="V63" s="8">
        <v>1</v>
      </c>
      <c r="W63" s="8" t="s">
        <v>375</v>
      </c>
      <c r="X63" s="8" t="s">
        <v>360</v>
      </c>
      <c r="Y63" s="8" t="s">
        <v>364</v>
      </c>
    </row>
    <row r="64" spans="1:25" x14ac:dyDescent="0.25">
      <c r="A64" s="8" t="s">
        <v>138</v>
      </c>
      <c r="B64" s="8" t="s">
        <v>61</v>
      </c>
      <c r="C64" s="8">
        <v>3</v>
      </c>
      <c r="D64" s="8" t="s">
        <v>386</v>
      </c>
      <c r="E64" s="8" t="s">
        <v>15</v>
      </c>
      <c r="F64" s="8" t="s">
        <v>184</v>
      </c>
      <c r="G64" s="17">
        <v>0.4</v>
      </c>
      <c r="H64" s="17">
        <v>0</v>
      </c>
      <c r="I64" s="8" t="s">
        <v>430</v>
      </c>
      <c r="J64" s="10">
        <v>39.4</v>
      </c>
      <c r="K64" s="10">
        <v>24.6</v>
      </c>
      <c r="L64" s="10">
        <v>12.4</v>
      </c>
      <c r="M64" s="10">
        <v>9.7799999999999994</v>
      </c>
      <c r="N64" s="10">
        <f t="shared" si="0"/>
        <v>1.6016260162601625</v>
      </c>
      <c r="O64" s="10">
        <f t="shared" si="1"/>
        <v>1.9838709677419355</v>
      </c>
      <c r="P64" s="8" t="s">
        <v>437</v>
      </c>
      <c r="Q64" s="8" t="s">
        <v>355</v>
      </c>
      <c r="R64" s="10">
        <v>8.9</v>
      </c>
      <c r="S64" s="10">
        <v>13</v>
      </c>
      <c r="T64" s="10">
        <v>106</v>
      </c>
      <c r="U64" s="10">
        <v>75</v>
      </c>
      <c r="V64" s="8">
        <v>2</v>
      </c>
      <c r="W64" s="8" t="s">
        <v>375</v>
      </c>
      <c r="X64" s="8" t="s">
        <v>362</v>
      </c>
      <c r="Y64" s="8" t="s">
        <v>364</v>
      </c>
    </row>
    <row r="65" spans="1:25" x14ac:dyDescent="0.25">
      <c r="A65" s="8" t="s">
        <v>110</v>
      </c>
      <c r="B65" s="8" t="s">
        <v>61</v>
      </c>
      <c r="C65" s="8">
        <v>3</v>
      </c>
      <c r="D65" s="8" t="s">
        <v>388</v>
      </c>
      <c r="E65" s="8" t="s">
        <v>15</v>
      </c>
      <c r="F65" s="8" t="s">
        <v>184</v>
      </c>
      <c r="G65" s="17">
        <v>0.3</v>
      </c>
      <c r="H65" s="17">
        <v>0</v>
      </c>
      <c r="I65" s="8" t="s">
        <v>430</v>
      </c>
      <c r="J65" s="10">
        <v>21.2</v>
      </c>
      <c r="K65" s="10">
        <v>19.7</v>
      </c>
      <c r="L65" s="10">
        <v>9</v>
      </c>
      <c r="M65" s="10">
        <v>3.37</v>
      </c>
      <c r="N65" s="10">
        <f t="shared" si="0"/>
        <v>1.0761421319796953</v>
      </c>
      <c r="O65" s="10">
        <f t="shared" si="1"/>
        <v>2.1888888888888887</v>
      </c>
      <c r="P65" s="8" t="s">
        <v>437</v>
      </c>
      <c r="Q65" s="8" t="s">
        <v>354</v>
      </c>
      <c r="R65" s="10">
        <v>7.6</v>
      </c>
      <c r="S65" s="10">
        <v>14.8</v>
      </c>
      <c r="T65" s="10">
        <v>89</v>
      </c>
      <c r="U65" s="10">
        <v>79</v>
      </c>
      <c r="V65" s="8">
        <v>1</v>
      </c>
      <c r="W65" s="8" t="s">
        <v>375</v>
      </c>
      <c r="X65" s="8" t="s">
        <v>187</v>
      </c>
      <c r="Y65" s="8" t="s">
        <v>364</v>
      </c>
    </row>
    <row r="66" spans="1:25" x14ac:dyDescent="0.25">
      <c r="A66" s="8" t="s">
        <v>111</v>
      </c>
      <c r="B66" s="8" t="s">
        <v>61</v>
      </c>
      <c r="C66" s="8">
        <v>3</v>
      </c>
      <c r="D66" s="8" t="s">
        <v>387</v>
      </c>
      <c r="E66" s="8" t="s">
        <v>15</v>
      </c>
      <c r="F66" s="8" t="s">
        <v>184</v>
      </c>
      <c r="G66" s="17">
        <v>0</v>
      </c>
      <c r="H66" s="17">
        <v>0</v>
      </c>
      <c r="I66" s="8" t="s">
        <v>428</v>
      </c>
      <c r="J66" s="10">
        <v>34.799999999999997</v>
      </c>
      <c r="K66" s="10">
        <v>19.7</v>
      </c>
      <c r="L66" s="10">
        <v>8.5</v>
      </c>
      <c r="M66" s="10">
        <v>5.87</v>
      </c>
      <c r="N66" s="10">
        <f t="shared" si="0"/>
        <v>1.766497461928934</v>
      </c>
      <c r="O66" s="10">
        <f t="shared" si="1"/>
        <v>2.3176470588235292</v>
      </c>
      <c r="P66" s="8" t="s">
        <v>436</v>
      </c>
      <c r="Q66" s="8" t="s">
        <v>354</v>
      </c>
      <c r="R66" s="10">
        <v>8</v>
      </c>
      <c r="S66" s="10">
        <v>19.2</v>
      </c>
      <c r="T66" s="10">
        <v>98</v>
      </c>
      <c r="U66" s="10">
        <v>79</v>
      </c>
      <c r="V66" s="8">
        <v>2</v>
      </c>
      <c r="W66" s="8" t="s">
        <v>375</v>
      </c>
      <c r="X66" s="8" t="s">
        <v>361</v>
      </c>
      <c r="Y66" s="8" t="s">
        <v>364</v>
      </c>
    </row>
    <row r="67" spans="1:25" x14ac:dyDescent="0.25">
      <c r="A67" s="8" t="s">
        <v>139</v>
      </c>
      <c r="B67" s="8" t="s">
        <v>61</v>
      </c>
      <c r="C67" s="8">
        <v>3</v>
      </c>
      <c r="D67" s="8" t="s">
        <v>386</v>
      </c>
      <c r="E67" s="8" t="s">
        <v>15</v>
      </c>
      <c r="F67" s="8" t="s">
        <v>184</v>
      </c>
      <c r="G67" s="17">
        <v>0</v>
      </c>
      <c r="H67" s="17">
        <v>0</v>
      </c>
      <c r="I67" s="8" t="s">
        <v>428</v>
      </c>
      <c r="J67" s="10">
        <v>14.6</v>
      </c>
      <c r="K67" s="10">
        <v>14</v>
      </c>
      <c r="L67" s="10">
        <v>2.7</v>
      </c>
      <c r="M67" s="10">
        <v>0.38</v>
      </c>
      <c r="N67" s="10">
        <f t="shared" ref="N67:N119" si="2">J67/K67</f>
        <v>1.0428571428571429</v>
      </c>
      <c r="O67" s="10">
        <f t="shared" ref="O67:O119" si="3">K67/L67</f>
        <v>5.1851851851851851</v>
      </c>
      <c r="P67" s="8" t="s">
        <v>434</v>
      </c>
      <c r="Q67" s="8" t="s">
        <v>356</v>
      </c>
      <c r="V67" s="8">
        <v>1</v>
      </c>
      <c r="W67" s="8" t="s">
        <v>380</v>
      </c>
      <c r="X67" s="8" t="s">
        <v>361</v>
      </c>
      <c r="Y67" s="8" t="s">
        <v>372</v>
      </c>
    </row>
    <row r="68" spans="1:25" x14ac:dyDescent="0.25">
      <c r="A68" s="8" t="s">
        <v>114</v>
      </c>
      <c r="B68" s="8" t="s">
        <v>61</v>
      </c>
      <c r="C68" s="8">
        <v>3</v>
      </c>
      <c r="D68" s="8" t="s">
        <v>386</v>
      </c>
      <c r="E68" s="8" t="s">
        <v>15</v>
      </c>
      <c r="F68" s="8" t="s">
        <v>184</v>
      </c>
      <c r="G68" s="17">
        <v>0.5</v>
      </c>
      <c r="H68" s="17">
        <v>0</v>
      </c>
      <c r="I68" s="8" t="s">
        <v>430</v>
      </c>
      <c r="J68" s="10">
        <v>23.9</v>
      </c>
      <c r="K68" s="10">
        <v>23.8</v>
      </c>
      <c r="L68" s="10">
        <v>5.4</v>
      </c>
      <c r="M68" s="10">
        <v>2.19</v>
      </c>
      <c r="N68" s="10">
        <f t="shared" si="2"/>
        <v>1.0042016806722689</v>
      </c>
      <c r="O68" s="10">
        <f t="shared" si="3"/>
        <v>4.4074074074074074</v>
      </c>
      <c r="P68" s="8" t="s">
        <v>434</v>
      </c>
      <c r="Q68" s="8" t="s">
        <v>355</v>
      </c>
      <c r="R68" s="10">
        <v>1.8</v>
      </c>
      <c r="S68" s="10">
        <v>6.2</v>
      </c>
      <c r="T68" s="10">
        <v>110</v>
      </c>
      <c r="V68" s="8">
        <v>1</v>
      </c>
      <c r="W68" s="8" t="s">
        <v>375</v>
      </c>
      <c r="X68" s="8" t="s">
        <v>363</v>
      </c>
      <c r="Y68" s="8" t="s">
        <v>364</v>
      </c>
    </row>
    <row r="69" spans="1:25" x14ac:dyDescent="0.25">
      <c r="A69" s="8" t="s">
        <v>140</v>
      </c>
      <c r="B69" s="8" t="s">
        <v>61</v>
      </c>
      <c r="C69" s="8">
        <v>3</v>
      </c>
      <c r="D69" s="8" t="s">
        <v>389</v>
      </c>
      <c r="E69" s="8" t="s">
        <v>403</v>
      </c>
      <c r="F69" s="8" t="s">
        <v>184</v>
      </c>
      <c r="G69" s="17">
        <v>1</v>
      </c>
      <c r="H69" s="17">
        <v>0</v>
      </c>
      <c r="I69" s="8" t="s">
        <v>429</v>
      </c>
      <c r="J69" s="10">
        <v>28.8</v>
      </c>
      <c r="K69" s="10">
        <v>36.6</v>
      </c>
      <c r="L69" s="10">
        <v>12.3</v>
      </c>
      <c r="M69" s="10">
        <v>11.76</v>
      </c>
      <c r="N69" s="10">
        <f t="shared" si="2"/>
        <v>0.78688524590163933</v>
      </c>
      <c r="O69" s="10">
        <f t="shared" si="3"/>
        <v>2.975609756097561</v>
      </c>
      <c r="P69" s="8" t="s">
        <v>437</v>
      </c>
      <c r="Q69" s="8" t="s">
        <v>354</v>
      </c>
      <c r="R69" s="10">
        <v>10.1</v>
      </c>
      <c r="S69" s="10">
        <v>22.5</v>
      </c>
      <c r="T69" s="10">
        <v>93</v>
      </c>
      <c r="V69" s="8">
        <v>0</v>
      </c>
      <c r="W69" s="8" t="s">
        <v>378</v>
      </c>
      <c r="X69" s="8" t="s">
        <v>190</v>
      </c>
      <c r="Y69" s="8" t="s">
        <v>369</v>
      </c>
    </row>
    <row r="70" spans="1:25" x14ac:dyDescent="0.25">
      <c r="A70" s="8" t="s">
        <v>115</v>
      </c>
      <c r="B70" s="8" t="s">
        <v>61</v>
      </c>
      <c r="C70" s="8">
        <v>3</v>
      </c>
      <c r="D70" s="8" t="s">
        <v>401</v>
      </c>
      <c r="E70" s="8" t="s">
        <v>15</v>
      </c>
      <c r="F70" s="8" t="s">
        <v>184</v>
      </c>
      <c r="G70" s="17">
        <v>0.15</v>
      </c>
      <c r="H70" s="17">
        <v>0.15</v>
      </c>
      <c r="I70" s="8" t="s">
        <v>430</v>
      </c>
      <c r="J70" s="10">
        <v>31.2</v>
      </c>
      <c r="K70" s="10">
        <v>34.200000000000003</v>
      </c>
      <c r="L70" s="10">
        <v>7</v>
      </c>
      <c r="M70" s="10">
        <v>6.39</v>
      </c>
      <c r="N70" s="10">
        <f t="shared" si="2"/>
        <v>0.91228070175438591</v>
      </c>
      <c r="O70" s="10">
        <f t="shared" si="3"/>
        <v>4.8857142857142861</v>
      </c>
      <c r="P70" s="8" t="s">
        <v>437</v>
      </c>
      <c r="Q70" s="8" t="s">
        <v>354</v>
      </c>
      <c r="R70" s="10">
        <v>6.4</v>
      </c>
      <c r="S70" s="10">
        <v>17</v>
      </c>
      <c r="T70" s="10">
        <v>104</v>
      </c>
      <c r="U70" s="10">
        <v>78</v>
      </c>
      <c r="V70" s="8">
        <v>2</v>
      </c>
      <c r="W70" s="8" t="s">
        <v>375</v>
      </c>
      <c r="X70" s="8" t="s">
        <v>187</v>
      </c>
      <c r="Y70" s="8" t="s">
        <v>364</v>
      </c>
    </row>
    <row r="71" spans="1:25" x14ac:dyDescent="0.25">
      <c r="A71" s="8" t="s">
        <v>141</v>
      </c>
      <c r="B71" s="8" t="s">
        <v>61</v>
      </c>
      <c r="C71" s="8">
        <v>3</v>
      </c>
      <c r="D71" s="8" t="s">
        <v>387</v>
      </c>
      <c r="E71" s="8" t="s">
        <v>15</v>
      </c>
      <c r="F71" s="8" t="s">
        <v>184</v>
      </c>
      <c r="G71" s="17">
        <v>0.1</v>
      </c>
      <c r="H71" s="17">
        <v>0</v>
      </c>
      <c r="I71" s="8" t="s">
        <v>431</v>
      </c>
      <c r="J71" s="10">
        <v>36.200000000000003</v>
      </c>
      <c r="K71" s="10">
        <v>52.9</v>
      </c>
      <c r="L71" s="10">
        <v>12.6</v>
      </c>
      <c r="M71" s="10">
        <v>18.5</v>
      </c>
      <c r="N71" s="10">
        <f t="shared" si="2"/>
        <v>0.68431001890359178</v>
      </c>
      <c r="O71" s="10">
        <f t="shared" si="3"/>
        <v>4.1984126984126986</v>
      </c>
      <c r="P71" s="8" t="s">
        <v>437</v>
      </c>
      <c r="Q71" s="8" t="s">
        <v>354</v>
      </c>
      <c r="R71" s="10">
        <v>11.6</v>
      </c>
      <c r="S71" s="10">
        <v>38.5</v>
      </c>
      <c r="T71" s="10">
        <v>112</v>
      </c>
      <c r="U71" s="10">
        <v>73</v>
      </c>
      <c r="V71" s="8">
        <v>3</v>
      </c>
      <c r="W71" s="8" t="s">
        <v>375</v>
      </c>
      <c r="X71" s="8" t="s">
        <v>362</v>
      </c>
      <c r="Y71" s="8" t="s">
        <v>364</v>
      </c>
    </row>
    <row r="72" spans="1:25" x14ac:dyDescent="0.25">
      <c r="A72" s="8" t="s">
        <v>116</v>
      </c>
      <c r="B72" s="8" t="s">
        <v>61</v>
      </c>
      <c r="C72" s="8">
        <v>3</v>
      </c>
      <c r="D72" s="8" t="s">
        <v>386</v>
      </c>
      <c r="E72" s="8" t="s">
        <v>15</v>
      </c>
      <c r="F72" s="8" t="s">
        <v>184</v>
      </c>
      <c r="G72" s="17">
        <v>0</v>
      </c>
      <c r="H72" s="17">
        <v>0</v>
      </c>
      <c r="I72" s="8" t="s">
        <v>428</v>
      </c>
      <c r="J72" s="10">
        <v>34.799999999999997</v>
      </c>
      <c r="K72" s="10">
        <v>31.3</v>
      </c>
      <c r="L72" s="10">
        <v>6.5</v>
      </c>
      <c r="M72" s="10">
        <v>6.21</v>
      </c>
      <c r="N72" s="10">
        <f t="shared" si="2"/>
        <v>1.1118210862619806</v>
      </c>
      <c r="O72" s="10">
        <f t="shared" si="3"/>
        <v>4.8153846153846152</v>
      </c>
      <c r="P72" s="8" t="s">
        <v>434</v>
      </c>
      <c r="Q72" s="8" t="s">
        <v>354</v>
      </c>
      <c r="R72" s="10">
        <v>4.8</v>
      </c>
      <c r="S72" s="10">
        <v>14.2</v>
      </c>
      <c r="T72" s="10">
        <v>110</v>
      </c>
      <c r="U72" s="10">
        <v>71</v>
      </c>
      <c r="V72" s="8">
        <v>1</v>
      </c>
      <c r="W72" s="8" t="s">
        <v>375</v>
      </c>
      <c r="X72" s="8" t="s">
        <v>186</v>
      </c>
      <c r="Y72" s="8" t="s">
        <v>364</v>
      </c>
    </row>
    <row r="73" spans="1:25" x14ac:dyDescent="0.25">
      <c r="A73" s="8" t="s">
        <v>142</v>
      </c>
      <c r="B73" s="8" t="s">
        <v>61</v>
      </c>
      <c r="C73" s="8">
        <v>3</v>
      </c>
      <c r="D73" s="8" t="s">
        <v>386</v>
      </c>
      <c r="E73" s="8" t="s">
        <v>15</v>
      </c>
      <c r="F73" s="8" t="s">
        <v>184</v>
      </c>
      <c r="G73" s="17">
        <v>0</v>
      </c>
      <c r="H73" s="17">
        <v>0</v>
      </c>
      <c r="I73" s="8" t="s">
        <v>428</v>
      </c>
      <c r="J73" s="10">
        <v>37.6</v>
      </c>
      <c r="K73" s="10">
        <v>36.1</v>
      </c>
      <c r="L73" s="10">
        <v>1.4</v>
      </c>
      <c r="M73" s="10">
        <v>7.18</v>
      </c>
      <c r="N73" s="10">
        <f t="shared" si="2"/>
        <v>1.0415512465373962</v>
      </c>
      <c r="O73" s="10">
        <f t="shared" si="3"/>
        <v>25.785714285714288</v>
      </c>
      <c r="P73" s="8" t="s">
        <v>438</v>
      </c>
      <c r="Q73" s="8" t="s">
        <v>354</v>
      </c>
      <c r="R73" s="10">
        <v>9.1</v>
      </c>
      <c r="S73" s="10">
        <v>19.7</v>
      </c>
      <c r="T73" s="10">
        <v>118</v>
      </c>
      <c r="U73" s="10">
        <v>79</v>
      </c>
      <c r="V73" s="8">
        <v>3</v>
      </c>
      <c r="W73" s="8" t="s">
        <v>374</v>
      </c>
      <c r="X73" s="8" t="s">
        <v>186</v>
      </c>
      <c r="Y73" s="8" t="s">
        <v>365</v>
      </c>
    </row>
    <row r="74" spans="1:25" x14ac:dyDescent="0.25">
      <c r="A74" s="8" t="s">
        <v>143</v>
      </c>
      <c r="B74" s="8" t="s">
        <v>61</v>
      </c>
      <c r="C74" s="8">
        <v>3</v>
      </c>
      <c r="D74" s="8" t="s">
        <v>386</v>
      </c>
      <c r="E74" s="8" t="s">
        <v>21</v>
      </c>
      <c r="F74" s="8" t="s">
        <v>184</v>
      </c>
      <c r="G74" s="17">
        <v>0</v>
      </c>
      <c r="H74" s="17">
        <v>0</v>
      </c>
      <c r="I74" s="8" t="s">
        <v>428</v>
      </c>
      <c r="J74" s="10">
        <v>19.2</v>
      </c>
      <c r="K74" s="10">
        <v>13</v>
      </c>
      <c r="L74" s="10">
        <v>3.8</v>
      </c>
      <c r="M74" s="10">
        <v>1.1399999999999999</v>
      </c>
      <c r="N74" s="10">
        <f t="shared" si="2"/>
        <v>1.4769230769230768</v>
      </c>
      <c r="O74" s="10">
        <f t="shared" si="3"/>
        <v>3.4210526315789473</v>
      </c>
      <c r="P74" s="8" t="s">
        <v>437</v>
      </c>
      <c r="Q74" s="8" t="s">
        <v>354</v>
      </c>
      <c r="R74" s="10">
        <v>3.3</v>
      </c>
      <c r="S74" s="10">
        <v>10.6</v>
      </c>
      <c r="T74" s="10">
        <v>119</v>
      </c>
      <c r="U74" s="10">
        <v>82</v>
      </c>
      <c r="V74" s="8">
        <v>2</v>
      </c>
      <c r="W74" s="8" t="s">
        <v>374</v>
      </c>
      <c r="X74" s="8" t="s">
        <v>186</v>
      </c>
      <c r="Y74" s="8" t="s">
        <v>365</v>
      </c>
    </row>
    <row r="75" spans="1:25" x14ac:dyDescent="0.25">
      <c r="A75" s="8" t="s">
        <v>144</v>
      </c>
      <c r="B75" s="8" t="s">
        <v>61</v>
      </c>
      <c r="C75" s="8">
        <v>3</v>
      </c>
      <c r="D75" s="8" t="s">
        <v>386</v>
      </c>
      <c r="E75" s="8" t="s">
        <v>15</v>
      </c>
      <c r="F75" s="8" t="s">
        <v>184</v>
      </c>
      <c r="G75" s="17">
        <v>0.5</v>
      </c>
      <c r="H75" s="17">
        <v>0</v>
      </c>
      <c r="I75" s="8" t="s">
        <v>430</v>
      </c>
      <c r="J75" s="10">
        <v>45.9</v>
      </c>
      <c r="K75" s="10">
        <v>18.5</v>
      </c>
      <c r="L75" s="10">
        <v>8.4</v>
      </c>
      <c r="M75" s="10">
        <v>6.92</v>
      </c>
      <c r="N75" s="10">
        <f t="shared" si="2"/>
        <v>2.4810810810810811</v>
      </c>
      <c r="O75" s="10">
        <f t="shared" si="3"/>
        <v>2.2023809523809521</v>
      </c>
      <c r="P75" s="8" t="s">
        <v>438</v>
      </c>
      <c r="Q75" s="8" t="s">
        <v>355</v>
      </c>
      <c r="R75" s="10">
        <v>7.6</v>
      </c>
      <c r="S75" s="10">
        <v>12.7</v>
      </c>
      <c r="T75" s="10">
        <v>124</v>
      </c>
      <c r="U75" s="10">
        <v>68</v>
      </c>
      <c r="V75" s="8">
        <v>1</v>
      </c>
      <c r="W75" s="8" t="s">
        <v>375</v>
      </c>
      <c r="X75" s="8" t="s">
        <v>363</v>
      </c>
      <c r="Y75" s="8" t="s">
        <v>364</v>
      </c>
    </row>
    <row r="76" spans="1:25" x14ac:dyDescent="0.25">
      <c r="A76" s="8" t="s">
        <v>145</v>
      </c>
      <c r="B76" s="8" t="s">
        <v>61</v>
      </c>
      <c r="C76" s="8">
        <v>3</v>
      </c>
      <c r="D76" s="8" t="s">
        <v>387</v>
      </c>
      <c r="E76" s="8" t="s">
        <v>15</v>
      </c>
      <c r="F76" s="8" t="s">
        <v>184</v>
      </c>
      <c r="G76" s="17">
        <v>0.7</v>
      </c>
      <c r="H76" s="17">
        <v>0</v>
      </c>
      <c r="I76" s="8" t="s">
        <v>430</v>
      </c>
      <c r="J76" s="10">
        <v>39.4</v>
      </c>
      <c r="K76" s="10">
        <v>22.4</v>
      </c>
      <c r="L76" s="10">
        <v>12.8</v>
      </c>
      <c r="M76" s="10">
        <v>9.5</v>
      </c>
      <c r="N76" s="10">
        <f t="shared" si="2"/>
        <v>1.7589285714285714</v>
      </c>
      <c r="O76" s="10">
        <f t="shared" si="3"/>
        <v>1.7499999999999998</v>
      </c>
      <c r="P76" s="8" t="s">
        <v>434</v>
      </c>
      <c r="Q76" s="8" t="s">
        <v>354</v>
      </c>
      <c r="R76" s="10">
        <v>12.1</v>
      </c>
      <c r="S76" s="10">
        <v>12.4</v>
      </c>
      <c r="T76" s="10">
        <v>96</v>
      </c>
      <c r="V76" s="8">
        <v>1</v>
      </c>
      <c r="W76" s="8" t="s">
        <v>375</v>
      </c>
      <c r="X76" s="8" t="s">
        <v>362</v>
      </c>
      <c r="Y76" s="8" t="s">
        <v>364</v>
      </c>
    </row>
    <row r="77" spans="1:25" x14ac:dyDescent="0.25">
      <c r="A77" s="8" t="s">
        <v>146</v>
      </c>
      <c r="B77" s="8" t="s">
        <v>61</v>
      </c>
      <c r="C77" s="8">
        <v>3</v>
      </c>
      <c r="D77" s="8" t="s">
        <v>387</v>
      </c>
      <c r="E77" s="8" t="s">
        <v>21</v>
      </c>
      <c r="F77" s="8" t="s">
        <v>184</v>
      </c>
      <c r="G77" s="17">
        <v>0.15</v>
      </c>
      <c r="H77" s="17">
        <v>0.15</v>
      </c>
      <c r="I77" s="8" t="s">
        <v>431</v>
      </c>
      <c r="J77" s="10">
        <v>39.6</v>
      </c>
      <c r="K77" s="10">
        <v>17.3</v>
      </c>
      <c r="L77" s="10">
        <v>9.8000000000000007</v>
      </c>
      <c r="M77" s="10">
        <v>5.92</v>
      </c>
      <c r="N77" s="10">
        <f t="shared" si="2"/>
        <v>2.2890173410404624</v>
      </c>
      <c r="O77" s="10">
        <f t="shared" si="3"/>
        <v>1.7653061224489794</v>
      </c>
      <c r="P77" s="8" t="s">
        <v>438</v>
      </c>
      <c r="Q77" s="8" t="s">
        <v>355</v>
      </c>
      <c r="R77" s="10">
        <v>6.2</v>
      </c>
      <c r="S77" s="10">
        <v>10.1</v>
      </c>
      <c r="T77" s="10">
        <v>111</v>
      </c>
      <c r="U77" s="10">
        <v>86</v>
      </c>
      <c r="V77" s="8">
        <v>2</v>
      </c>
      <c r="W77" s="8" t="s">
        <v>375</v>
      </c>
      <c r="X77" s="8" t="s">
        <v>360</v>
      </c>
      <c r="Y77" s="8" t="s">
        <v>364</v>
      </c>
    </row>
    <row r="78" spans="1:25" x14ac:dyDescent="0.25">
      <c r="A78" s="8" t="s">
        <v>147</v>
      </c>
      <c r="B78" s="8" t="s">
        <v>61</v>
      </c>
      <c r="C78" s="8">
        <v>3</v>
      </c>
      <c r="D78" s="8" t="s">
        <v>390</v>
      </c>
      <c r="E78" s="8" t="s">
        <v>15</v>
      </c>
      <c r="F78" s="8" t="s">
        <v>184</v>
      </c>
      <c r="G78" s="17">
        <v>0</v>
      </c>
      <c r="H78" s="17">
        <v>0</v>
      </c>
      <c r="I78" s="8" t="s">
        <v>428</v>
      </c>
      <c r="J78" s="10">
        <v>33.5</v>
      </c>
      <c r="K78" s="10">
        <v>25.7</v>
      </c>
      <c r="L78" s="10">
        <v>10.3</v>
      </c>
      <c r="M78" s="10">
        <v>5.9</v>
      </c>
      <c r="N78" s="10">
        <f t="shared" si="2"/>
        <v>1.3035019455252919</v>
      </c>
      <c r="O78" s="10">
        <f t="shared" si="3"/>
        <v>2.4951456310679609</v>
      </c>
      <c r="P78" s="8" t="s">
        <v>434</v>
      </c>
      <c r="Q78" s="8" t="s">
        <v>354</v>
      </c>
      <c r="R78" s="10">
        <v>7.2</v>
      </c>
      <c r="S78" s="10">
        <v>14.7</v>
      </c>
      <c r="T78" s="10">
        <v>104</v>
      </c>
      <c r="U78" s="10">
        <v>82</v>
      </c>
      <c r="V78" s="8">
        <v>2</v>
      </c>
      <c r="W78" s="8" t="s">
        <v>375</v>
      </c>
      <c r="X78" s="8" t="s">
        <v>186</v>
      </c>
      <c r="Y78" s="8" t="s">
        <v>364</v>
      </c>
    </row>
    <row r="79" spans="1:25" x14ac:dyDescent="0.25">
      <c r="A79" s="8" t="s">
        <v>148</v>
      </c>
      <c r="B79" s="8" t="s">
        <v>61</v>
      </c>
      <c r="C79" s="8">
        <v>3</v>
      </c>
      <c r="D79" s="8" t="s">
        <v>386</v>
      </c>
      <c r="E79" s="8" t="s">
        <v>21</v>
      </c>
      <c r="F79" s="8" t="s">
        <v>184</v>
      </c>
      <c r="G79" s="17">
        <v>0</v>
      </c>
      <c r="H79" s="17">
        <v>0</v>
      </c>
      <c r="I79" s="8" t="s">
        <v>428</v>
      </c>
      <c r="J79" s="10">
        <v>32.9</v>
      </c>
      <c r="K79" s="10">
        <v>20</v>
      </c>
      <c r="L79" s="10">
        <v>4.5999999999999996</v>
      </c>
      <c r="M79" s="10">
        <v>3.01</v>
      </c>
      <c r="N79" s="10">
        <f t="shared" si="2"/>
        <v>1.645</v>
      </c>
      <c r="O79" s="10">
        <f t="shared" si="3"/>
        <v>4.3478260869565224</v>
      </c>
      <c r="P79" s="8" t="s">
        <v>438</v>
      </c>
      <c r="Q79" s="8" t="s">
        <v>355</v>
      </c>
      <c r="R79" s="10">
        <v>3.2</v>
      </c>
      <c r="S79" s="10">
        <v>12.9</v>
      </c>
      <c r="T79" s="10">
        <v>108</v>
      </c>
      <c r="U79" s="10">
        <v>78</v>
      </c>
      <c r="V79" s="8">
        <v>3</v>
      </c>
      <c r="W79" s="8" t="s">
        <v>375</v>
      </c>
      <c r="X79" s="8" t="s">
        <v>359</v>
      </c>
      <c r="Y79" s="8" t="s">
        <v>364</v>
      </c>
    </row>
    <row r="80" spans="1:25" x14ac:dyDescent="0.25">
      <c r="A80" s="8" t="s">
        <v>149</v>
      </c>
      <c r="B80" s="8" t="s">
        <v>61</v>
      </c>
      <c r="C80" s="8">
        <v>3</v>
      </c>
      <c r="D80" s="8" t="s">
        <v>401</v>
      </c>
      <c r="E80" s="8" t="s">
        <v>15</v>
      </c>
      <c r="F80" s="8" t="s">
        <v>184</v>
      </c>
      <c r="G80" s="17">
        <v>0</v>
      </c>
      <c r="H80" s="17">
        <v>0.15</v>
      </c>
      <c r="I80" s="8" t="s">
        <v>428</v>
      </c>
      <c r="J80" s="10">
        <v>19.3</v>
      </c>
      <c r="K80" s="10">
        <v>28.6</v>
      </c>
      <c r="L80" s="10">
        <v>7.6</v>
      </c>
      <c r="M80" s="10">
        <v>2.88</v>
      </c>
      <c r="N80" s="10">
        <f t="shared" si="2"/>
        <v>0.67482517482517479</v>
      </c>
      <c r="O80" s="10">
        <f t="shared" si="3"/>
        <v>3.7631578947368425</v>
      </c>
      <c r="P80" s="8" t="s">
        <v>436</v>
      </c>
      <c r="Q80" s="8" t="s">
        <v>354</v>
      </c>
      <c r="R80" s="10">
        <v>3.5</v>
      </c>
      <c r="S80" s="10">
        <v>14.1</v>
      </c>
      <c r="T80" s="10">
        <v>123</v>
      </c>
      <c r="V80" s="8">
        <v>1</v>
      </c>
      <c r="W80" s="8" t="s">
        <v>375</v>
      </c>
      <c r="X80" s="8" t="s">
        <v>186</v>
      </c>
      <c r="Y80" s="8" t="s">
        <v>364</v>
      </c>
    </row>
    <row r="81" spans="1:25" x14ac:dyDescent="0.25">
      <c r="A81" s="8" t="s">
        <v>150</v>
      </c>
      <c r="B81" s="8" t="s">
        <v>61</v>
      </c>
      <c r="C81" s="8">
        <v>3</v>
      </c>
      <c r="D81" s="8" t="s">
        <v>390</v>
      </c>
      <c r="E81" s="8" t="s">
        <v>21</v>
      </c>
      <c r="F81" s="8" t="s">
        <v>184</v>
      </c>
      <c r="G81" s="17">
        <v>0.35</v>
      </c>
      <c r="H81" s="17">
        <v>0</v>
      </c>
      <c r="I81" s="8" t="s">
        <v>430</v>
      </c>
      <c r="J81" s="10">
        <v>41</v>
      </c>
      <c r="K81" s="10">
        <v>24.8</v>
      </c>
      <c r="L81" s="10">
        <v>19.100000000000001</v>
      </c>
      <c r="M81" s="10">
        <v>16.66</v>
      </c>
      <c r="N81" s="10">
        <f t="shared" si="2"/>
        <v>1.6532258064516128</v>
      </c>
      <c r="O81" s="10">
        <f t="shared" si="3"/>
        <v>1.2984293193717278</v>
      </c>
      <c r="P81" s="8" t="s">
        <v>434</v>
      </c>
      <c r="Q81" s="8" t="s">
        <v>354</v>
      </c>
      <c r="R81" s="10">
        <v>18</v>
      </c>
      <c r="S81" s="10">
        <v>19.5</v>
      </c>
      <c r="T81" s="10">
        <v>122</v>
      </c>
      <c r="U81" s="10">
        <v>88</v>
      </c>
      <c r="V81" s="8">
        <v>2</v>
      </c>
      <c r="W81" s="8" t="s">
        <v>375</v>
      </c>
      <c r="X81" s="8" t="s">
        <v>187</v>
      </c>
      <c r="Y81" s="8" t="s">
        <v>364</v>
      </c>
    </row>
    <row r="82" spans="1:25" x14ac:dyDescent="0.25">
      <c r="A82" s="8" t="s">
        <v>151</v>
      </c>
      <c r="B82" s="8" t="s">
        <v>61</v>
      </c>
      <c r="C82" s="8">
        <v>3</v>
      </c>
      <c r="D82" s="8" t="s">
        <v>401</v>
      </c>
      <c r="E82" s="8" t="s">
        <v>15</v>
      </c>
      <c r="F82" s="8" t="s">
        <v>184</v>
      </c>
      <c r="G82" s="17">
        <v>0</v>
      </c>
      <c r="H82" s="17">
        <v>0</v>
      </c>
      <c r="I82" s="8" t="s">
        <v>428</v>
      </c>
      <c r="J82" s="10">
        <v>34.700000000000003</v>
      </c>
      <c r="K82" s="10">
        <v>33.799999999999997</v>
      </c>
      <c r="L82" s="10">
        <v>9.3000000000000007</v>
      </c>
      <c r="M82" s="10">
        <v>5.12</v>
      </c>
      <c r="N82" s="10">
        <f t="shared" si="2"/>
        <v>1.0266272189349115</v>
      </c>
      <c r="O82" s="10">
        <f t="shared" si="3"/>
        <v>3.6344086021505371</v>
      </c>
      <c r="P82" s="8" t="s">
        <v>436</v>
      </c>
      <c r="Q82" s="8" t="s">
        <v>354</v>
      </c>
      <c r="R82" s="10">
        <v>5</v>
      </c>
      <c r="S82" s="10">
        <v>20.9</v>
      </c>
      <c r="T82" s="10">
        <v>101</v>
      </c>
      <c r="U82" s="10">
        <v>88</v>
      </c>
      <c r="V82" s="8">
        <v>2</v>
      </c>
      <c r="W82" s="8" t="s">
        <v>375</v>
      </c>
      <c r="X82" s="8" t="s">
        <v>186</v>
      </c>
      <c r="Y82" s="8" t="s">
        <v>364</v>
      </c>
    </row>
    <row r="83" spans="1:25" x14ac:dyDescent="0.25">
      <c r="A83" s="8" t="s">
        <v>152</v>
      </c>
      <c r="B83" s="8" t="s">
        <v>61</v>
      </c>
      <c r="C83" s="8">
        <v>3</v>
      </c>
      <c r="D83" s="8" t="s">
        <v>401</v>
      </c>
      <c r="E83" s="8" t="s">
        <v>15</v>
      </c>
      <c r="F83" s="8" t="s">
        <v>184</v>
      </c>
      <c r="G83" s="17">
        <v>0</v>
      </c>
      <c r="H83" s="17">
        <v>0.1</v>
      </c>
      <c r="I83" s="8" t="s">
        <v>428</v>
      </c>
      <c r="J83" s="10">
        <v>26.6</v>
      </c>
      <c r="K83" s="10">
        <v>21.5</v>
      </c>
      <c r="L83" s="10">
        <v>6.2</v>
      </c>
      <c r="M83" s="10">
        <v>3.23</v>
      </c>
      <c r="N83" s="10">
        <f t="shared" si="2"/>
        <v>1.2372093023255815</v>
      </c>
      <c r="O83" s="10">
        <f t="shared" si="3"/>
        <v>3.467741935483871</v>
      </c>
      <c r="P83" s="8" t="s">
        <v>438</v>
      </c>
      <c r="Q83" s="8" t="s">
        <v>354</v>
      </c>
      <c r="R83" s="10">
        <v>3.9</v>
      </c>
      <c r="S83" s="10">
        <v>14.8</v>
      </c>
      <c r="T83" s="10">
        <v>114</v>
      </c>
      <c r="U83" s="10">
        <v>74</v>
      </c>
      <c r="V83" s="8">
        <v>3</v>
      </c>
      <c r="W83" s="8" t="s">
        <v>375</v>
      </c>
      <c r="X83" s="8" t="s">
        <v>186</v>
      </c>
      <c r="Y83" s="8" t="s">
        <v>364</v>
      </c>
    </row>
    <row r="84" spans="1:25" x14ac:dyDescent="0.25">
      <c r="A84" s="8" t="s">
        <v>153</v>
      </c>
      <c r="B84" s="8" t="s">
        <v>61</v>
      </c>
      <c r="C84" s="8">
        <v>3</v>
      </c>
      <c r="D84" s="8" t="s">
        <v>386</v>
      </c>
      <c r="E84" s="8" t="s">
        <v>15</v>
      </c>
      <c r="F84" s="8" t="s">
        <v>184</v>
      </c>
      <c r="G84" s="17">
        <v>0</v>
      </c>
      <c r="H84" s="17">
        <v>0</v>
      </c>
      <c r="I84" s="8" t="s">
        <v>428</v>
      </c>
      <c r="J84" s="10">
        <v>31.1</v>
      </c>
      <c r="K84" s="10">
        <v>16.600000000000001</v>
      </c>
      <c r="L84" s="10">
        <v>5.3</v>
      </c>
      <c r="M84" s="10">
        <v>2.21</v>
      </c>
      <c r="N84" s="10">
        <f t="shared" si="2"/>
        <v>1.8734939759036144</v>
      </c>
      <c r="O84" s="10">
        <f t="shared" si="3"/>
        <v>3.1320754716981134</v>
      </c>
      <c r="P84" s="8" t="s">
        <v>434</v>
      </c>
      <c r="Q84" s="8" t="s">
        <v>354</v>
      </c>
      <c r="R84" s="10">
        <v>5.0999999999999996</v>
      </c>
      <c r="S84" s="10">
        <v>9.4</v>
      </c>
      <c r="T84" s="10">
        <v>106</v>
      </c>
      <c r="U84" s="10">
        <v>76</v>
      </c>
      <c r="V84" s="8">
        <v>2</v>
      </c>
      <c r="W84" s="8" t="s">
        <v>375</v>
      </c>
      <c r="X84" s="8" t="s">
        <v>361</v>
      </c>
      <c r="Y84" s="8" t="s">
        <v>364</v>
      </c>
    </row>
    <row r="85" spans="1:25" x14ac:dyDescent="0.25">
      <c r="A85" s="8" t="s">
        <v>154</v>
      </c>
      <c r="B85" s="8" t="s">
        <v>61</v>
      </c>
      <c r="C85" s="8">
        <v>3</v>
      </c>
      <c r="D85" s="8" t="s">
        <v>401</v>
      </c>
      <c r="E85" s="8" t="s">
        <v>15</v>
      </c>
      <c r="F85" s="8" t="s">
        <v>184</v>
      </c>
      <c r="G85" s="17">
        <v>0.3</v>
      </c>
      <c r="H85" s="17">
        <v>0</v>
      </c>
      <c r="I85" s="8" t="s">
        <v>430</v>
      </c>
      <c r="J85" s="10">
        <v>22.4</v>
      </c>
      <c r="K85" s="10">
        <v>24.1</v>
      </c>
      <c r="L85" s="10">
        <v>10.8</v>
      </c>
      <c r="M85" s="10">
        <v>5.55</v>
      </c>
      <c r="N85" s="10">
        <f t="shared" si="2"/>
        <v>0.92946058091286299</v>
      </c>
      <c r="O85" s="10">
        <f t="shared" si="3"/>
        <v>2.2314814814814814</v>
      </c>
      <c r="P85" s="8" t="s">
        <v>434</v>
      </c>
      <c r="Q85" s="8" t="s">
        <v>355</v>
      </c>
      <c r="R85" s="10">
        <v>5.2</v>
      </c>
      <c r="S85" s="10">
        <v>14.4</v>
      </c>
      <c r="T85" s="10">
        <v>112</v>
      </c>
      <c r="U85" s="10">
        <v>89</v>
      </c>
      <c r="V85" s="8">
        <v>3</v>
      </c>
      <c r="W85" s="8" t="s">
        <v>374</v>
      </c>
      <c r="X85" s="8" t="s">
        <v>188</v>
      </c>
      <c r="Y85" s="8" t="s">
        <v>365</v>
      </c>
    </row>
    <row r="86" spans="1:25" x14ac:dyDescent="0.25">
      <c r="A86" s="8" t="s">
        <v>155</v>
      </c>
      <c r="B86" s="8" t="s">
        <v>61</v>
      </c>
      <c r="C86" s="8">
        <v>3</v>
      </c>
      <c r="D86" s="8" t="s">
        <v>386</v>
      </c>
      <c r="E86" s="8" t="s">
        <v>15</v>
      </c>
      <c r="F86" s="8" t="s">
        <v>184</v>
      </c>
      <c r="G86" s="17">
        <v>0</v>
      </c>
      <c r="H86" s="17">
        <v>0.05</v>
      </c>
      <c r="I86" s="8" t="s">
        <v>428</v>
      </c>
      <c r="J86" s="10">
        <v>23.9</v>
      </c>
      <c r="K86" s="10">
        <v>25.8</v>
      </c>
      <c r="L86" s="10">
        <v>7</v>
      </c>
      <c r="M86" s="10">
        <v>3.81</v>
      </c>
      <c r="N86" s="10">
        <f t="shared" si="2"/>
        <v>0.92635658914728669</v>
      </c>
      <c r="O86" s="10">
        <f t="shared" si="3"/>
        <v>3.6857142857142859</v>
      </c>
      <c r="P86" s="8" t="s">
        <v>437</v>
      </c>
      <c r="Q86" s="8" t="s">
        <v>354</v>
      </c>
      <c r="R86" s="10">
        <v>6</v>
      </c>
      <c r="S86" s="10">
        <v>25.6</v>
      </c>
      <c r="T86" s="10">
        <v>113</v>
      </c>
      <c r="U86" s="10">
        <v>70</v>
      </c>
      <c r="V86" s="8">
        <v>2</v>
      </c>
      <c r="W86" s="8" t="s">
        <v>375</v>
      </c>
      <c r="X86" s="8" t="s">
        <v>186</v>
      </c>
      <c r="Y86" s="8" t="s">
        <v>364</v>
      </c>
    </row>
    <row r="87" spans="1:25" x14ac:dyDescent="0.25">
      <c r="A87" s="8" t="s">
        <v>156</v>
      </c>
      <c r="B87" s="8" t="s">
        <v>61</v>
      </c>
      <c r="C87" s="8">
        <v>3</v>
      </c>
      <c r="D87" s="8" t="s">
        <v>387</v>
      </c>
      <c r="E87" s="8" t="s">
        <v>15</v>
      </c>
      <c r="F87" s="8" t="s">
        <v>184</v>
      </c>
      <c r="G87" s="17">
        <v>0</v>
      </c>
      <c r="H87" s="17">
        <v>0.1</v>
      </c>
      <c r="I87" s="8" t="s">
        <v>428</v>
      </c>
      <c r="J87" s="10">
        <v>24</v>
      </c>
      <c r="K87" s="10">
        <v>30</v>
      </c>
      <c r="L87" s="10">
        <v>4</v>
      </c>
      <c r="M87" s="10">
        <v>2.31</v>
      </c>
      <c r="N87" s="10">
        <f t="shared" si="2"/>
        <v>0.8</v>
      </c>
      <c r="O87" s="10">
        <f t="shared" si="3"/>
        <v>7.5</v>
      </c>
      <c r="P87" s="8" t="s">
        <v>434</v>
      </c>
      <c r="Q87" s="8" t="s">
        <v>354</v>
      </c>
      <c r="R87" s="10">
        <v>2.1</v>
      </c>
      <c r="S87" s="10">
        <v>11.7</v>
      </c>
      <c r="T87" s="10">
        <v>111</v>
      </c>
      <c r="U87" s="10">
        <v>86</v>
      </c>
      <c r="V87" s="8">
        <v>2</v>
      </c>
      <c r="W87" s="8" t="s">
        <v>375</v>
      </c>
      <c r="X87" s="8" t="s">
        <v>186</v>
      </c>
      <c r="Y87" s="8" t="s">
        <v>364</v>
      </c>
    </row>
    <row r="88" spans="1:25" x14ac:dyDescent="0.25">
      <c r="A88" s="8" t="s">
        <v>157</v>
      </c>
      <c r="B88" s="8" t="s">
        <v>61</v>
      </c>
      <c r="C88" s="8">
        <v>3</v>
      </c>
      <c r="D88" s="8" t="s">
        <v>401</v>
      </c>
      <c r="E88" s="8" t="s">
        <v>15</v>
      </c>
      <c r="F88" s="8" t="s">
        <v>184</v>
      </c>
      <c r="G88" s="17">
        <v>0</v>
      </c>
      <c r="H88" s="17">
        <v>0.45</v>
      </c>
      <c r="I88" s="8" t="s">
        <v>428</v>
      </c>
      <c r="J88" s="10">
        <v>22.9</v>
      </c>
      <c r="K88" s="10">
        <v>30.7</v>
      </c>
      <c r="L88" s="10">
        <v>11.7</v>
      </c>
      <c r="M88" s="10">
        <v>6.67</v>
      </c>
      <c r="N88" s="10">
        <f t="shared" si="2"/>
        <v>0.74592833876221498</v>
      </c>
      <c r="O88" s="10">
        <f t="shared" si="3"/>
        <v>2.6239316239316239</v>
      </c>
      <c r="P88" s="8" t="s">
        <v>435</v>
      </c>
      <c r="Q88" s="8" t="s">
        <v>357</v>
      </c>
      <c r="R88" s="10">
        <v>10.8</v>
      </c>
      <c r="S88" s="10">
        <v>29.2</v>
      </c>
      <c r="T88" s="10">
        <v>113</v>
      </c>
      <c r="U88" s="10">
        <v>70</v>
      </c>
      <c r="V88" s="8">
        <v>1</v>
      </c>
      <c r="W88" s="8" t="s">
        <v>379</v>
      </c>
      <c r="X88" s="8" t="s">
        <v>189</v>
      </c>
      <c r="Y88" s="8" t="s">
        <v>373</v>
      </c>
    </row>
    <row r="89" spans="1:25" x14ac:dyDescent="0.25">
      <c r="A89" s="8" t="s">
        <v>158</v>
      </c>
      <c r="B89" s="8" t="s">
        <v>61</v>
      </c>
      <c r="C89" s="8">
        <v>3</v>
      </c>
      <c r="D89" s="8" t="s">
        <v>386</v>
      </c>
      <c r="E89" s="8" t="s">
        <v>15</v>
      </c>
      <c r="F89" s="8" t="s">
        <v>184</v>
      </c>
      <c r="G89" s="17">
        <v>0</v>
      </c>
      <c r="H89" s="17">
        <v>0</v>
      </c>
      <c r="I89" s="8" t="s">
        <v>428</v>
      </c>
      <c r="J89" s="10">
        <v>41.3</v>
      </c>
      <c r="K89" s="10">
        <v>34.700000000000003</v>
      </c>
      <c r="L89" s="10">
        <v>10.9</v>
      </c>
      <c r="M89" s="10">
        <v>15.1</v>
      </c>
      <c r="N89" s="10">
        <f t="shared" si="2"/>
        <v>1.190201729106628</v>
      </c>
      <c r="O89" s="10">
        <f t="shared" si="3"/>
        <v>3.1834862385321103</v>
      </c>
      <c r="P89" s="8" t="s">
        <v>437</v>
      </c>
      <c r="Q89" s="8" t="s">
        <v>354</v>
      </c>
      <c r="R89" s="10">
        <v>5.5</v>
      </c>
      <c r="S89" s="10">
        <v>23.7</v>
      </c>
      <c r="T89" s="10">
        <v>111</v>
      </c>
      <c r="U89" s="10">
        <v>83</v>
      </c>
      <c r="V89" s="8">
        <v>5</v>
      </c>
      <c r="W89" s="8" t="s">
        <v>381</v>
      </c>
      <c r="X89" s="8" t="s">
        <v>186</v>
      </c>
      <c r="Y89" s="8" t="s">
        <v>368</v>
      </c>
    </row>
    <row r="90" spans="1:25" x14ac:dyDescent="0.25">
      <c r="A90" s="8" t="s">
        <v>159</v>
      </c>
      <c r="B90" s="8" t="s">
        <v>61</v>
      </c>
      <c r="C90" s="8">
        <v>3</v>
      </c>
      <c r="D90" s="8" t="s">
        <v>386</v>
      </c>
      <c r="E90" s="8" t="s">
        <v>15</v>
      </c>
      <c r="F90" s="8" t="s">
        <v>184</v>
      </c>
      <c r="G90" s="17">
        <v>0</v>
      </c>
      <c r="H90" s="17">
        <v>0</v>
      </c>
      <c r="I90" s="8" t="s">
        <v>428</v>
      </c>
      <c r="J90" s="10">
        <v>13.2</v>
      </c>
      <c r="K90" s="10">
        <v>27.6</v>
      </c>
      <c r="L90" s="10">
        <v>2.2999999999999998</v>
      </c>
      <c r="M90" s="10">
        <v>0.86</v>
      </c>
      <c r="N90" s="10">
        <f t="shared" si="2"/>
        <v>0.47826086956521735</v>
      </c>
      <c r="O90" s="10">
        <f t="shared" si="3"/>
        <v>12.000000000000002</v>
      </c>
      <c r="P90" s="8" t="s">
        <v>437</v>
      </c>
      <c r="Q90" s="8" t="s">
        <v>355</v>
      </c>
      <c r="R90" s="10">
        <v>2.5</v>
      </c>
      <c r="S90" s="10">
        <v>13.1</v>
      </c>
      <c r="T90" s="10">
        <v>97</v>
      </c>
      <c r="U90" s="10">
        <v>67</v>
      </c>
      <c r="V90" s="8">
        <v>1</v>
      </c>
      <c r="W90" s="8" t="s">
        <v>375</v>
      </c>
      <c r="X90" s="8" t="s">
        <v>189</v>
      </c>
      <c r="Y90" s="8" t="s">
        <v>364</v>
      </c>
    </row>
    <row r="91" spans="1:25" x14ac:dyDescent="0.25">
      <c r="A91" s="8" t="s">
        <v>160</v>
      </c>
      <c r="B91" s="8" t="s">
        <v>61</v>
      </c>
      <c r="C91" s="8">
        <v>3</v>
      </c>
      <c r="D91" s="8" t="s">
        <v>386</v>
      </c>
      <c r="E91" s="8" t="s">
        <v>15</v>
      </c>
      <c r="F91" s="8" t="s">
        <v>184</v>
      </c>
      <c r="G91" s="17">
        <v>0</v>
      </c>
      <c r="H91" s="17">
        <v>0</v>
      </c>
      <c r="I91" s="8" t="s">
        <v>428</v>
      </c>
      <c r="J91" s="10">
        <v>33.799999999999997</v>
      </c>
      <c r="K91" s="10">
        <v>38.799999999999997</v>
      </c>
      <c r="L91" s="10">
        <v>7.8</v>
      </c>
      <c r="M91" s="10">
        <v>5.41</v>
      </c>
      <c r="N91" s="10">
        <f t="shared" si="2"/>
        <v>0.87113402061855671</v>
      </c>
      <c r="O91" s="10">
        <f t="shared" si="3"/>
        <v>4.9743589743589745</v>
      </c>
      <c r="P91" s="8" t="s">
        <v>434</v>
      </c>
      <c r="Q91" s="8" t="s">
        <v>355</v>
      </c>
      <c r="R91" s="10">
        <v>2.2000000000000002</v>
      </c>
      <c r="S91" s="10">
        <v>7.1</v>
      </c>
      <c r="T91" s="10">
        <v>107</v>
      </c>
      <c r="U91" s="10">
        <v>79</v>
      </c>
      <c r="V91" s="8">
        <v>1</v>
      </c>
      <c r="W91" s="8" t="s">
        <v>375</v>
      </c>
      <c r="X91" s="8" t="s">
        <v>189</v>
      </c>
      <c r="Y91" s="8" t="s">
        <v>364</v>
      </c>
    </row>
    <row r="92" spans="1:25" x14ac:dyDescent="0.25">
      <c r="A92" s="8" t="s">
        <v>161</v>
      </c>
      <c r="B92" s="8" t="s">
        <v>61</v>
      </c>
      <c r="C92" s="8">
        <v>3</v>
      </c>
      <c r="D92" s="8" t="s">
        <v>386</v>
      </c>
      <c r="E92" s="8" t="s">
        <v>21</v>
      </c>
      <c r="F92" s="8" t="s">
        <v>184</v>
      </c>
      <c r="G92" s="17">
        <v>0</v>
      </c>
      <c r="H92" s="17">
        <v>0</v>
      </c>
      <c r="I92" s="8" t="s">
        <v>428</v>
      </c>
      <c r="J92" s="10">
        <v>19.2</v>
      </c>
      <c r="K92" s="10">
        <v>27.2</v>
      </c>
      <c r="L92" s="10">
        <v>4.5</v>
      </c>
      <c r="M92" s="10">
        <v>1.8</v>
      </c>
      <c r="N92" s="10">
        <f t="shared" si="2"/>
        <v>0.70588235294117652</v>
      </c>
      <c r="O92" s="10">
        <f t="shared" si="3"/>
        <v>6.0444444444444443</v>
      </c>
      <c r="P92" s="8" t="s">
        <v>437</v>
      </c>
      <c r="Q92" s="8" t="s">
        <v>355</v>
      </c>
      <c r="R92" s="10">
        <v>4.5</v>
      </c>
      <c r="S92" s="10">
        <v>8.9</v>
      </c>
      <c r="T92" s="10">
        <v>104</v>
      </c>
      <c r="U92" s="10">
        <v>73</v>
      </c>
      <c r="V92" s="8">
        <v>1</v>
      </c>
      <c r="W92" s="8" t="s">
        <v>375</v>
      </c>
      <c r="X92" s="8" t="s">
        <v>189</v>
      </c>
      <c r="Y92" s="8" t="s">
        <v>364</v>
      </c>
    </row>
    <row r="93" spans="1:25" x14ac:dyDescent="0.25">
      <c r="A93" s="8" t="s">
        <v>162</v>
      </c>
      <c r="B93" s="8" t="s">
        <v>61</v>
      </c>
      <c r="C93" s="8">
        <v>3</v>
      </c>
      <c r="D93" s="8" t="s">
        <v>401</v>
      </c>
      <c r="E93" s="8" t="s">
        <v>15</v>
      </c>
      <c r="F93" s="8" t="s">
        <v>184</v>
      </c>
      <c r="G93" s="17">
        <v>0</v>
      </c>
      <c r="H93" s="17">
        <v>0</v>
      </c>
      <c r="I93" s="8" t="s">
        <v>428</v>
      </c>
      <c r="J93" s="10">
        <v>19.2</v>
      </c>
      <c r="K93" s="10">
        <v>27.2</v>
      </c>
      <c r="L93" s="10">
        <v>7.1</v>
      </c>
      <c r="M93" s="10">
        <v>2.4</v>
      </c>
      <c r="N93" s="10">
        <f t="shared" si="2"/>
        <v>0.70588235294117652</v>
      </c>
      <c r="O93" s="10">
        <f t="shared" si="3"/>
        <v>3.830985915492958</v>
      </c>
      <c r="P93" s="8" t="s">
        <v>437</v>
      </c>
      <c r="Q93" s="8" t="s">
        <v>354</v>
      </c>
      <c r="R93" s="10">
        <v>6.1</v>
      </c>
      <c r="S93" s="10">
        <v>25.4</v>
      </c>
      <c r="T93" s="10">
        <v>118</v>
      </c>
      <c r="U93" s="10">
        <v>77</v>
      </c>
      <c r="V93" s="8">
        <v>3</v>
      </c>
      <c r="W93" s="8" t="s">
        <v>375</v>
      </c>
      <c r="X93" s="8" t="s">
        <v>186</v>
      </c>
      <c r="Y93" s="8" t="s">
        <v>364</v>
      </c>
    </row>
    <row r="94" spans="1:25" x14ac:dyDescent="0.25">
      <c r="A94" s="8" t="s">
        <v>163</v>
      </c>
      <c r="B94" s="8" t="s">
        <v>61</v>
      </c>
      <c r="C94" s="8">
        <v>3</v>
      </c>
      <c r="D94" s="8" t="s">
        <v>387</v>
      </c>
      <c r="E94" s="8" t="s">
        <v>15</v>
      </c>
      <c r="F94" s="8" t="s">
        <v>184</v>
      </c>
      <c r="G94" s="17">
        <v>0</v>
      </c>
      <c r="H94" s="17">
        <v>0.2</v>
      </c>
      <c r="I94" s="8" t="s">
        <v>428</v>
      </c>
      <c r="J94" s="10">
        <v>38.5</v>
      </c>
      <c r="K94" s="10">
        <v>24.7</v>
      </c>
      <c r="L94" s="10">
        <v>11.2</v>
      </c>
      <c r="M94" s="10">
        <v>10</v>
      </c>
      <c r="N94" s="10">
        <f t="shared" si="2"/>
        <v>1.5587044534412955</v>
      </c>
      <c r="O94" s="10">
        <f t="shared" si="3"/>
        <v>2.2053571428571428</v>
      </c>
      <c r="P94" s="8" t="s">
        <v>436</v>
      </c>
      <c r="Q94" s="8" t="s">
        <v>354</v>
      </c>
      <c r="R94" s="10">
        <v>9.1999999999999993</v>
      </c>
      <c r="S94" s="10">
        <v>22.1</v>
      </c>
      <c r="T94" s="10">
        <v>95</v>
      </c>
      <c r="U94" s="10">
        <v>89</v>
      </c>
      <c r="V94" s="8">
        <v>2</v>
      </c>
      <c r="W94" s="8" t="s">
        <v>375</v>
      </c>
      <c r="X94" s="8" t="s">
        <v>361</v>
      </c>
      <c r="Y94" s="8" t="s">
        <v>364</v>
      </c>
    </row>
    <row r="95" spans="1:25" x14ac:dyDescent="0.25">
      <c r="A95" s="8" t="s">
        <v>164</v>
      </c>
      <c r="B95" s="8" t="s">
        <v>61</v>
      </c>
      <c r="C95" s="8">
        <v>3</v>
      </c>
      <c r="D95" s="8" t="s">
        <v>386</v>
      </c>
      <c r="E95" s="8" t="s">
        <v>15</v>
      </c>
      <c r="F95" s="8" t="s">
        <v>184</v>
      </c>
      <c r="G95" s="17">
        <v>0.1</v>
      </c>
      <c r="H95" s="17">
        <v>0</v>
      </c>
      <c r="I95" s="8" t="s">
        <v>430</v>
      </c>
      <c r="J95" s="10">
        <v>32.799999999999997</v>
      </c>
      <c r="K95" s="10">
        <v>42.3</v>
      </c>
      <c r="L95" s="10">
        <v>9.3000000000000007</v>
      </c>
      <c r="M95" s="10">
        <v>13.7</v>
      </c>
      <c r="N95" s="10">
        <f t="shared" si="2"/>
        <v>0.77541371158392436</v>
      </c>
      <c r="O95" s="10">
        <f t="shared" si="3"/>
        <v>4.5483870967741931</v>
      </c>
      <c r="P95" s="8" t="s">
        <v>434</v>
      </c>
      <c r="Q95" s="8" t="s">
        <v>354</v>
      </c>
      <c r="R95" s="10">
        <v>8.1999999999999993</v>
      </c>
      <c r="S95" s="10">
        <v>28.4</v>
      </c>
      <c r="T95" s="10">
        <v>99</v>
      </c>
      <c r="U95" s="10">
        <v>63</v>
      </c>
      <c r="V95" s="8">
        <v>1</v>
      </c>
      <c r="W95" s="8" t="s">
        <v>375</v>
      </c>
      <c r="X95" s="8" t="s">
        <v>187</v>
      </c>
      <c r="Y95" s="8" t="s">
        <v>364</v>
      </c>
    </row>
    <row r="96" spans="1:25" x14ac:dyDescent="0.25">
      <c r="A96" s="8" t="s">
        <v>165</v>
      </c>
      <c r="B96" s="8" t="s">
        <v>61</v>
      </c>
      <c r="C96" s="8">
        <v>3</v>
      </c>
      <c r="D96" s="8" t="s">
        <v>401</v>
      </c>
      <c r="E96" s="8" t="s">
        <v>15</v>
      </c>
      <c r="F96" s="8" t="s">
        <v>184</v>
      </c>
      <c r="G96" s="17">
        <v>0.15</v>
      </c>
      <c r="H96" s="17">
        <v>0.05</v>
      </c>
      <c r="I96" s="8" t="s">
        <v>433</v>
      </c>
      <c r="J96" s="10">
        <v>51.6</v>
      </c>
      <c r="K96" s="10">
        <v>37.200000000000003</v>
      </c>
      <c r="L96" s="10">
        <v>19.2</v>
      </c>
      <c r="M96" s="10">
        <v>28.68</v>
      </c>
      <c r="N96" s="10">
        <f t="shared" si="2"/>
        <v>1.3870967741935483</v>
      </c>
      <c r="O96" s="10">
        <f t="shared" si="3"/>
        <v>1.9375000000000002</v>
      </c>
      <c r="P96" s="8" t="s">
        <v>438</v>
      </c>
      <c r="Q96" s="8" t="s">
        <v>355</v>
      </c>
      <c r="R96" s="10">
        <v>4.3</v>
      </c>
      <c r="S96" s="10">
        <v>17</v>
      </c>
      <c r="T96" s="10">
        <v>117</v>
      </c>
      <c r="U96" s="10">
        <v>72</v>
      </c>
      <c r="V96" s="8">
        <v>3</v>
      </c>
      <c r="W96" s="8" t="s">
        <v>379</v>
      </c>
      <c r="X96" s="8" t="s">
        <v>188</v>
      </c>
      <c r="Y96" s="8" t="s">
        <v>373</v>
      </c>
    </row>
    <row r="97" spans="1:25" x14ac:dyDescent="0.25">
      <c r="A97" s="8" t="s">
        <v>166</v>
      </c>
      <c r="B97" s="8" t="s">
        <v>61</v>
      </c>
      <c r="C97" s="8">
        <v>3</v>
      </c>
      <c r="D97" s="8" t="s">
        <v>386</v>
      </c>
      <c r="E97" s="8" t="s">
        <v>15</v>
      </c>
      <c r="F97" s="8" t="s">
        <v>184</v>
      </c>
      <c r="G97" s="17">
        <v>0</v>
      </c>
      <c r="H97" s="17">
        <v>0.4</v>
      </c>
      <c r="I97" s="8" t="s">
        <v>428</v>
      </c>
      <c r="J97" s="10">
        <v>12.5</v>
      </c>
      <c r="K97" s="10">
        <v>23.4</v>
      </c>
      <c r="L97" s="10">
        <v>7.1</v>
      </c>
      <c r="M97" s="10">
        <v>1.01</v>
      </c>
      <c r="N97" s="10">
        <f t="shared" si="2"/>
        <v>0.53418803418803418</v>
      </c>
      <c r="O97" s="10">
        <f t="shared" si="3"/>
        <v>3.295774647887324</v>
      </c>
      <c r="P97" s="8" t="s">
        <v>437</v>
      </c>
      <c r="Q97" s="8" t="s">
        <v>354</v>
      </c>
      <c r="R97" s="10">
        <v>6.9</v>
      </c>
      <c r="S97" s="10">
        <v>19.3</v>
      </c>
      <c r="T97" s="10">
        <v>116</v>
      </c>
      <c r="U97" s="10">
        <v>45</v>
      </c>
      <c r="V97" s="8">
        <v>2</v>
      </c>
      <c r="W97" s="8" t="s">
        <v>375</v>
      </c>
      <c r="X97" s="8" t="s">
        <v>361</v>
      </c>
      <c r="Y97" s="8" t="s">
        <v>364</v>
      </c>
    </row>
    <row r="98" spans="1:25" x14ac:dyDescent="0.25">
      <c r="A98" s="8" t="s">
        <v>167</v>
      </c>
      <c r="B98" s="8" t="s">
        <v>61</v>
      </c>
      <c r="C98" s="8">
        <v>3</v>
      </c>
      <c r="D98" s="8" t="s">
        <v>386</v>
      </c>
      <c r="E98" s="8" t="s">
        <v>15</v>
      </c>
      <c r="F98" s="8" t="s">
        <v>184</v>
      </c>
      <c r="G98" s="17">
        <v>1</v>
      </c>
      <c r="H98" s="17">
        <v>0</v>
      </c>
      <c r="I98" s="8" t="s">
        <v>429</v>
      </c>
      <c r="J98" s="10">
        <v>14.7</v>
      </c>
      <c r="K98" s="10">
        <v>21.7</v>
      </c>
      <c r="L98" s="10">
        <v>6.1</v>
      </c>
      <c r="M98" s="10">
        <v>0.93</v>
      </c>
      <c r="N98" s="10">
        <f t="shared" si="2"/>
        <v>0.67741935483870963</v>
      </c>
      <c r="O98" s="10">
        <f t="shared" si="3"/>
        <v>3.557377049180328</v>
      </c>
      <c r="P98" s="8" t="s">
        <v>437</v>
      </c>
      <c r="Q98" s="8" t="s">
        <v>355</v>
      </c>
      <c r="R98" s="10">
        <v>4.5</v>
      </c>
      <c r="S98" s="10">
        <v>12.6</v>
      </c>
      <c r="T98" s="10">
        <v>110</v>
      </c>
      <c r="U98" s="10">
        <v>70</v>
      </c>
      <c r="V98" s="8">
        <v>0</v>
      </c>
      <c r="W98" s="8" t="s">
        <v>378</v>
      </c>
      <c r="X98" s="8" t="s">
        <v>191</v>
      </c>
      <c r="Y98" s="8" t="s">
        <v>369</v>
      </c>
    </row>
    <row r="99" spans="1:25" x14ac:dyDescent="0.25">
      <c r="A99" s="8" t="s">
        <v>168</v>
      </c>
      <c r="B99" s="8" t="s">
        <v>61</v>
      </c>
      <c r="C99" s="8">
        <v>3</v>
      </c>
      <c r="D99" s="8" t="s">
        <v>386</v>
      </c>
      <c r="E99" s="8" t="s">
        <v>15</v>
      </c>
      <c r="F99" s="8" t="s">
        <v>184</v>
      </c>
      <c r="G99" s="17">
        <v>1</v>
      </c>
      <c r="H99" s="17">
        <v>0</v>
      </c>
      <c r="I99" s="8" t="s">
        <v>429</v>
      </c>
      <c r="J99" s="10">
        <v>36.799999999999997</v>
      </c>
      <c r="K99" s="10">
        <v>55.6</v>
      </c>
      <c r="L99" s="10">
        <v>9.6999999999999993</v>
      </c>
      <c r="M99" s="10">
        <v>25.83</v>
      </c>
      <c r="N99" s="10">
        <f t="shared" si="2"/>
        <v>0.66187050359712218</v>
      </c>
      <c r="O99" s="10">
        <f t="shared" si="3"/>
        <v>5.7319587628865989</v>
      </c>
      <c r="P99" s="8" t="s">
        <v>437</v>
      </c>
      <c r="Q99" s="8" t="s">
        <v>356</v>
      </c>
      <c r="V99" s="8">
        <v>0</v>
      </c>
      <c r="W99" s="8" t="s">
        <v>378</v>
      </c>
      <c r="X99" s="8" t="s">
        <v>191</v>
      </c>
      <c r="Y99" s="8" t="s">
        <v>369</v>
      </c>
    </row>
    <row r="100" spans="1:25" x14ac:dyDescent="0.25">
      <c r="A100" s="8" t="s">
        <v>169</v>
      </c>
      <c r="B100" s="8" t="s">
        <v>61</v>
      </c>
      <c r="C100" s="8">
        <v>3</v>
      </c>
      <c r="D100" s="8" t="s">
        <v>386</v>
      </c>
      <c r="E100" s="8" t="s">
        <v>15</v>
      </c>
      <c r="F100" s="8" t="s">
        <v>184</v>
      </c>
      <c r="G100" s="17">
        <v>0</v>
      </c>
      <c r="H100" s="17">
        <v>0.05</v>
      </c>
      <c r="I100" s="8" t="s">
        <v>428</v>
      </c>
      <c r="J100" s="10">
        <v>47.7</v>
      </c>
      <c r="K100" s="10">
        <v>40.700000000000003</v>
      </c>
      <c r="L100" s="10">
        <v>8.6999999999999993</v>
      </c>
      <c r="M100" s="10">
        <v>16.23</v>
      </c>
      <c r="N100" s="10">
        <f t="shared" si="2"/>
        <v>1.171990171990172</v>
      </c>
      <c r="O100" s="10">
        <f t="shared" si="3"/>
        <v>4.6781609195402307</v>
      </c>
      <c r="P100" s="8" t="s">
        <v>438</v>
      </c>
      <c r="Q100" s="8" t="s">
        <v>354</v>
      </c>
      <c r="R100" s="10">
        <v>7.7</v>
      </c>
      <c r="S100" s="10">
        <v>32.6</v>
      </c>
      <c r="T100" s="10">
        <v>113</v>
      </c>
      <c r="U100" s="10">
        <v>75</v>
      </c>
      <c r="V100" s="8">
        <v>4</v>
      </c>
      <c r="W100" s="8" t="s">
        <v>375</v>
      </c>
      <c r="X100" s="8" t="s">
        <v>186</v>
      </c>
      <c r="Y100" s="8" t="s">
        <v>364</v>
      </c>
    </row>
    <row r="101" spans="1:25" x14ac:dyDescent="0.25">
      <c r="A101" s="8" t="s">
        <v>170</v>
      </c>
      <c r="B101" s="8" t="s">
        <v>61</v>
      </c>
      <c r="C101" s="8">
        <v>3</v>
      </c>
      <c r="D101" s="8" t="s">
        <v>386</v>
      </c>
      <c r="E101" s="8" t="s">
        <v>21</v>
      </c>
      <c r="F101" s="8" t="s">
        <v>184</v>
      </c>
      <c r="G101" s="17">
        <v>0</v>
      </c>
      <c r="H101" s="17">
        <v>0</v>
      </c>
      <c r="I101" s="8" t="s">
        <v>428</v>
      </c>
      <c r="J101" s="10">
        <v>41.3</v>
      </c>
      <c r="K101" s="10">
        <v>29.1</v>
      </c>
      <c r="L101" s="10">
        <v>12.4</v>
      </c>
      <c r="M101" s="10">
        <v>10.27</v>
      </c>
      <c r="N101" s="10">
        <f t="shared" si="2"/>
        <v>1.4192439862542954</v>
      </c>
      <c r="O101" s="10">
        <f t="shared" si="3"/>
        <v>2.346774193548387</v>
      </c>
      <c r="P101" s="8" t="s">
        <v>437</v>
      </c>
      <c r="Q101" s="8" t="s">
        <v>354</v>
      </c>
      <c r="R101" s="10">
        <v>9.1</v>
      </c>
      <c r="S101" s="10">
        <v>14.4</v>
      </c>
      <c r="T101" s="10">
        <v>103</v>
      </c>
      <c r="U101" s="10">
        <v>81</v>
      </c>
      <c r="V101" s="8">
        <v>3</v>
      </c>
      <c r="W101" s="8" t="s">
        <v>374</v>
      </c>
      <c r="X101" s="8" t="s">
        <v>186</v>
      </c>
      <c r="Y101" s="8" t="s">
        <v>365</v>
      </c>
    </row>
    <row r="102" spans="1:25" x14ac:dyDescent="0.25">
      <c r="A102" s="8" t="s">
        <v>171</v>
      </c>
      <c r="B102" s="8" t="s">
        <v>61</v>
      </c>
      <c r="C102" s="8">
        <v>3</v>
      </c>
      <c r="D102" s="8" t="s">
        <v>386</v>
      </c>
      <c r="E102" s="8" t="s">
        <v>15</v>
      </c>
      <c r="F102" s="8" t="s">
        <v>184</v>
      </c>
      <c r="G102" s="17">
        <v>0</v>
      </c>
      <c r="H102" s="17">
        <v>0.25</v>
      </c>
      <c r="I102" s="8" t="s">
        <v>431</v>
      </c>
      <c r="J102" s="10">
        <v>23.3</v>
      </c>
      <c r="K102" s="10">
        <v>32.299999999999997</v>
      </c>
      <c r="L102" s="10">
        <v>11.2</v>
      </c>
      <c r="M102" s="10">
        <v>6.16</v>
      </c>
      <c r="N102" s="10">
        <f t="shared" si="2"/>
        <v>0.7213622291021673</v>
      </c>
      <c r="O102" s="10">
        <f t="shared" si="3"/>
        <v>2.8839285714285712</v>
      </c>
      <c r="P102" s="8" t="s">
        <v>437</v>
      </c>
      <c r="Q102" s="8" t="s">
        <v>354</v>
      </c>
      <c r="R102" s="10">
        <v>4.9000000000000004</v>
      </c>
      <c r="S102" s="10">
        <v>18.899999999999999</v>
      </c>
      <c r="T102" s="10">
        <v>130</v>
      </c>
      <c r="U102" s="10">
        <v>63</v>
      </c>
      <c r="V102" s="8">
        <v>1</v>
      </c>
      <c r="W102" s="8" t="s">
        <v>375</v>
      </c>
      <c r="X102" s="8" t="s">
        <v>187</v>
      </c>
      <c r="Y102" s="8" t="s">
        <v>364</v>
      </c>
    </row>
    <row r="103" spans="1:25" x14ac:dyDescent="0.25">
      <c r="A103" s="8" t="s">
        <v>172</v>
      </c>
      <c r="B103" s="8" t="s">
        <v>61</v>
      </c>
      <c r="C103" s="8">
        <v>3</v>
      </c>
      <c r="D103" s="8" t="s">
        <v>401</v>
      </c>
      <c r="E103" s="8" t="s">
        <v>15</v>
      </c>
      <c r="F103" s="8" t="s">
        <v>184</v>
      </c>
      <c r="G103" s="17">
        <v>0</v>
      </c>
      <c r="H103" s="17">
        <v>0</v>
      </c>
      <c r="I103" s="8" t="s">
        <v>428</v>
      </c>
      <c r="J103" s="10">
        <v>47.3</v>
      </c>
      <c r="K103" s="10">
        <v>50.5</v>
      </c>
      <c r="L103" s="10">
        <v>16.399999999999999</v>
      </c>
      <c r="M103" s="10">
        <v>34.130000000000003</v>
      </c>
      <c r="N103" s="10">
        <f t="shared" si="2"/>
        <v>0.93663366336633658</v>
      </c>
      <c r="O103" s="10">
        <f t="shared" si="3"/>
        <v>3.0792682926829271</v>
      </c>
      <c r="P103" s="8" t="s">
        <v>437</v>
      </c>
      <c r="Q103" s="8" t="s">
        <v>355</v>
      </c>
      <c r="R103" s="10">
        <v>5.2</v>
      </c>
      <c r="S103" s="10">
        <v>16.8</v>
      </c>
      <c r="T103" s="10">
        <v>118</v>
      </c>
      <c r="V103" s="8">
        <v>5</v>
      </c>
      <c r="W103" s="8" t="s">
        <v>376</v>
      </c>
      <c r="X103" s="8" t="s">
        <v>189</v>
      </c>
      <c r="Y103" s="8" t="s">
        <v>367</v>
      </c>
    </row>
    <row r="104" spans="1:25" x14ac:dyDescent="0.25">
      <c r="A104" s="8" t="s">
        <v>173</v>
      </c>
      <c r="B104" s="8" t="s">
        <v>61</v>
      </c>
      <c r="C104" s="8">
        <v>3</v>
      </c>
      <c r="D104" s="8" t="s">
        <v>386</v>
      </c>
      <c r="E104" s="8" t="s">
        <v>15</v>
      </c>
      <c r="F104" s="8" t="s">
        <v>184</v>
      </c>
      <c r="G104" s="17">
        <v>0</v>
      </c>
      <c r="H104" s="17">
        <v>0</v>
      </c>
      <c r="I104" s="8" t="s">
        <v>428</v>
      </c>
      <c r="J104" s="10">
        <v>16</v>
      </c>
      <c r="K104" s="10">
        <v>10.7</v>
      </c>
      <c r="L104" s="10">
        <v>3.5</v>
      </c>
      <c r="M104" s="10">
        <v>0.52</v>
      </c>
      <c r="N104" s="10">
        <f t="shared" si="2"/>
        <v>1.4953271028037385</v>
      </c>
      <c r="O104" s="10">
        <f t="shared" si="3"/>
        <v>3.0571428571428569</v>
      </c>
      <c r="P104" s="8" t="s">
        <v>437</v>
      </c>
      <c r="Q104" s="8" t="s">
        <v>356</v>
      </c>
      <c r="V104" s="8">
        <v>1</v>
      </c>
      <c r="W104" s="8" t="s">
        <v>375</v>
      </c>
      <c r="X104" s="8" t="s">
        <v>186</v>
      </c>
      <c r="Y104" s="8" t="s">
        <v>364</v>
      </c>
    </row>
    <row r="105" spans="1:25" x14ac:dyDescent="0.25">
      <c r="A105" s="8" t="s">
        <v>174</v>
      </c>
      <c r="B105" s="8" t="s">
        <v>61</v>
      </c>
      <c r="C105" s="8">
        <v>3</v>
      </c>
      <c r="D105" s="8" t="s">
        <v>386</v>
      </c>
      <c r="E105" s="8" t="s">
        <v>21</v>
      </c>
      <c r="F105" s="8" t="s">
        <v>184</v>
      </c>
      <c r="G105" s="17">
        <v>0</v>
      </c>
      <c r="H105" s="17">
        <v>0</v>
      </c>
      <c r="I105" s="8" t="s">
        <v>428</v>
      </c>
      <c r="J105" s="10">
        <v>20</v>
      </c>
      <c r="K105" s="10">
        <v>20.6</v>
      </c>
      <c r="L105" s="10">
        <v>5.4</v>
      </c>
      <c r="M105" s="10">
        <v>1.93</v>
      </c>
      <c r="N105" s="10">
        <f t="shared" si="2"/>
        <v>0.97087378640776689</v>
      </c>
      <c r="O105" s="10">
        <f t="shared" si="3"/>
        <v>3.8148148148148149</v>
      </c>
      <c r="P105" s="8" t="s">
        <v>438</v>
      </c>
      <c r="Q105" s="8" t="s">
        <v>354</v>
      </c>
      <c r="R105" s="10">
        <v>5.4</v>
      </c>
      <c r="S105" s="10">
        <v>8.8000000000000007</v>
      </c>
      <c r="T105" s="10">
        <v>100</v>
      </c>
      <c r="U105" s="10">
        <v>86</v>
      </c>
      <c r="V105" s="8">
        <v>2</v>
      </c>
      <c r="W105" s="8" t="s">
        <v>375</v>
      </c>
      <c r="X105" s="8" t="s">
        <v>186</v>
      </c>
      <c r="Y105" s="8" t="s">
        <v>364</v>
      </c>
    </row>
    <row r="106" spans="1:25" x14ac:dyDescent="0.25">
      <c r="A106" s="8" t="s">
        <v>175</v>
      </c>
      <c r="B106" s="8" t="s">
        <v>61</v>
      </c>
      <c r="C106" s="8">
        <v>3</v>
      </c>
      <c r="D106" s="8" t="s">
        <v>386</v>
      </c>
      <c r="E106" s="8" t="s">
        <v>15</v>
      </c>
      <c r="F106" s="8" t="s">
        <v>184</v>
      </c>
      <c r="G106" s="17">
        <v>0</v>
      </c>
      <c r="H106" s="17">
        <v>0</v>
      </c>
      <c r="I106" s="8" t="s">
        <v>428</v>
      </c>
      <c r="J106" s="10">
        <v>22.6</v>
      </c>
      <c r="K106" s="10">
        <v>38.200000000000003</v>
      </c>
      <c r="L106" s="10">
        <v>8.4</v>
      </c>
      <c r="M106" s="10">
        <v>7.98</v>
      </c>
      <c r="N106" s="10">
        <f t="shared" si="2"/>
        <v>0.59162303664921467</v>
      </c>
      <c r="O106" s="10">
        <f t="shared" si="3"/>
        <v>4.5476190476190474</v>
      </c>
      <c r="P106" s="8" t="s">
        <v>434</v>
      </c>
      <c r="Q106" s="8" t="s">
        <v>354</v>
      </c>
      <c r="R106" s="10">
        <v>5.0999999999999996</v>
      </c>
      <c r="S106" s="10">
        <v>21.1</v>
      </c>
      <c r="T106" s="10">
        <v>105</v>
      </c>
      <c r="U106" s="10">
        <v>80</v>
      </c>
      <c r="V106" s="8">
        <v>3</v>
      </c>
      <c r="W106" s="8" t="s">
        <v>375</v>
      </c>
      <c r="X106" s="8" t="s">
        <v>186</v>
      </c>
      <c r="Y106" s="8" t="s">
        <v>364</v>
      </c>
    </row>
    <row r="107" spans="1:25" x14ac:dyDescent="0.25">
      <c r="A107" s="8" t="s">
        <v>176</v>
      </c>
      <c r="B107" s="8" t="s">
        <v>61</v>
      </c>
      <c r="C107" s="8">
        <v>3</v>
      </c>
      <c r="D107" s="8" t="s">
        <v>386</v>
      </c>
      <c r="E107" s="8" t="s">
        <v>15</v>
      </c>
      <c r="F107" s="8" t="s">
        <v>184</v>
      </c>
      <c r="G107" s="17">
        <v>0</v>
      </c>
      <c r="H107" s="17">
        <v>0</v>
      </c>
      <c r="I107" s="8" t="s">
        <v>428</v>
      </c>
      <c r="J107" s="10">
        <v>25.5</v>
      </c>
      <c r="K107" s="10">
        <v>23.3</v>
      </c>
      <c r="L107" s="10">
        <v>7.9</v>
      </c>
      <c r="M107" s="10">
        <v>4.8499999999999996</v>
      </c>
      <c r="N107" s="10">
        <f t="shared" si="2"/>
        <v>1.094420600858369</v>
      </c>
      <c r="O107" s="10">
        <f t="shared" si="3"/>
        <v>2.9493670886075951</v>
      </c>
      <c r="P107" s="8" t="s">
        <v>434</v>
      </c>
      <c r="Q107" s="8" t="s">
        <v>354</v>
      </c>
      <c r="R107" s="10">
        <v>5.3</v>
      </c>
      <c r="S107" s="10">
        <v>9.1999999999999993</v>
      </c>
      <c r="T107" s="10">
        <v>109</v>
      </c>
      <c r="U107" s="10">
        <v>80</v>
      </c>
      <c r="V107" s="8">
        <v>3</v>
      </c>
      <c r="W107" s="8" t="s">
        <v>381</v>
      </c>
      <c r="X107" s="8" t="s">
        <v>186</v>
      </c>
      <c r="Y107" s="8" t="s">
        <v>368</v>
      </c>
    </row>
    <row r="108" spans="1:25" x14ac:dyDescent="0.25">
      <c r="A108" s="8" t="s">
        <v>177</v>
      </c>
      <c r="B108" s="8" t="s">
        <v>61</v>
      </c>
      <c r="C108" s="8">
        <v>3</v>
      </c>
      <c r="D108" s="8" t="s">
        <v>388</v>
      </c>
      <c r="E108" s="8" t="s">
        <v>15</v>
      </c>
      <c r="F108" s="8" t="s">
        <v>184</v>
      </c>
      <c r="G108" s="17">
        <v>0</v>
      </c>
      <c r="H108" s="17">
        <v>0.2</v>
      </c>
      <c r="I108" s="8" t="s">
        <v>428</v>
      </c>
      <c r="J108" s="10">
        <v>23.7</v>
      </c>
      <c r="K108" s="10">
        <v>20.399999999999999</v>
      </c>
      <c r="L108" s="10">
        <v>7.4</v>
      </c>
      <c r="M108" s="10">
        <v>3.74</v>
      </c>
      <c r="N108" s="10">
        <f t="shared" si="2"/>
        <v>1.161764705882353</v>
      </c>
      <c r="O108" s="10">
        <f t="shared" si="3"/>
        <v>2.7567567567567566</v>
      </c>
      <c r="P108" s="8" t="s">
        <v>438</v>
      </c>
      <c r="Q108" s="8" t="s">
        <v>354</v>
      </c>
      <c r="R108" s="10">
        <v>6.1</v>
      </c>
      <c r="S108" s="10">
        <v>13.2</v>
      </c>
      <c r="T108" s="10">
        <v>102</v>
      </c>
      <c r="U108" s="10">
        <v>89</v>
      </c>
      <c r="V108" s="8">
        <v>1</v>
      </c>
      <c r="W108" s="8" t="s">
        <v>375</v>
      </c>
      <c r="X108" s="8" t="s">
        <v>186</v>
      </c>
      <c r="Y108" s="8" t="s">
        <v>364</v>
      </c>
    </row>
    <row r="109" spans="1:25" x14ac:dyDescent="0.25">
      <c r="A109" s="8" t="s">
        <v>178</v>
      </c>
      <c r="B109" s="8" t="s">
        <v>61</v>
      </c>
      <c r="C109" s="8">
        <v>3</v>
      </c>
      <c r="D109" s="8" t="s">
        <v>386</v>
      </c>
      <c r="E109" s="8" t="s">
        <v>15</v>
      </c>
      <c r="F109" s="8" t="s">
        <v>184</v>
      </c>
      <c r="G109" s="17">
        <v>0</v>
      </c>
      <c r="H109" s="17">
        <v>0</v>
      </c>
      <c r="I109" s="8" t="s">
        <v>428</v>
      </c>
      <c r="J109" s="10">
        <v>15.2</v>
      </c>
      <c r="K109" s="10">
        <v>13</v>
      </c>
      <c r="L109" s="10">
        <v>2.9</v>
      </c>
      <c r="M109" s="10">
        <v>0.49</v>
      </c>
      <c r="N109" s="10">
        <f t="shared" si="2"/>
        <v>1.1692307692307691</v>
      </c>
      <c r="O109" s="10">
        <f t="shared" si="3"/>
        <v>4.4827586206896557</v>
      </c>
      <c r="P109" s="8" t="s">
        <v>434</v>
      </c>
      <c r="Q109" s="8" t="s">
        <v>355</v>
      </c>
      <c r="R109" s="10">
        <v>2.7</v>
      </c>
      <c r="S109" s="10">
        <v>4.9000000000000004</v>
      </c>
      <c r="T109" s="10">
        <v>103</v>
      </c>
      <c r="U109" s="10">
        <v>82</v>
      </c>
      <c r="V109" s="8">
        <v>3</v>
      </c>
      <c r="W109" s="8" t="s">
        <v>375</v>
      </c>
      <c r="X109" s="8" t="s">
        <v>189</v>
      </c>
      <c r="Y109" s="8" t="s">
        <v>364</v>
      </c>
    </row>
    <row r="110" spans="1:25" x14ac:dyDescent="0.25">
      <c r="A110" s="8" t="s">
        <v>179</v>
      </c>
      <c r="B110" s="8" t="s">
        <v>61</v>
      </c>
      <c r="C110" s="8">
        <v>3</v>
      </c>
      <c r="D110" s="8" t="s">
        <v>386</v>
      </c>
      <c r="E110" s="8" t="s">
        <v>15</v>
      </c>
      <c r="F110" s="8" t="s">
        <v>184</v>
      </c>
      <c r="G110" s="17">
        <v>0</v>
      </c>
      <c r="H110" s="17">
        <v>0</v>
      </c>
      <c r="I110" s="8" t="s">
        <v>428</v>
      </c>
      <c r="J110" s="10">
        <v>10.9</v>
      </c>
      <c r="K110" s="10">
        <v>11.9</v>
      </c>
      <c r="L110" s="10">
        <v>1.8</v>
      </c>
      <c r="M110" s="10">
        <v>0.13</v>
      </c>
      <c r="N110" s="10">
        <f t="shared" si="2"/>
        <v>0.91596638655462181</v>
      </c>
      <c r="O110" s="10">
        <f t="shared" si="3"/>
        <v>6.6111111111111107</v>
      </c>
      <c r="P110" s="8" t="s">
        <v>438</v>
      </c>
      <c r="Q110" s="8" t="s">
        <v>355</v>
      </c>
      <c r="R110" s="10">
        <v>1.6</v>
      </c>
      <c r="S110" s="10">
        <v>8.3000000000000007</v>
      </c>
      <c r="T110" s="10">
        <v>100</v>
      </c>
      <c r="U110" s="10">
        <v>81</v>
      </c>
      <c r="V110" s="8">
        <v>1</v>
      </c>
      <c r="W110" s="8" t="s">
        <v>375</v>
      </c>
      <c r="X110" s="8" t="s">
        <v>359</v>
      </c>
      <c r="Y110" s="8" t="s">
        <v>364</v>
      </c>
    </row>
    <row r="111" spans="1:25" x14ac:dyDescent="0.25">
      <c r="A111" s="8" t="s">
        <v>48</v>
      </c>
      <c r="B111" s="8" t="s">
        <v>61</v>
      </c>
      <c r="C111" s="8">
        <v>3</v>
      </c>
      <c r="D111" s="8" t="s">
        <v>401</v>
      </c>
      <c r="E111" s="8" t="s">
        <v>15</v>
      </c>
      <c r="F111" s="8" t="s">
        <v>184</v>
      </c>
      <c r="G111" s="17">
        <v>0.45</v>
      </c>
      <c r="H111" s="17">
        <v>0</v>
      </c>
      <c r="I111" s="8" t="s">
        <v>432</v>
      </c>
      <c r="J111" s="10">
        <v>32.1</v>
      </c>
      <c r="K111" s="10">
        <v>26.9</v>
      </c>
      <c r="L111" s="10">
        <v>8.1</v>
      </c>
      <c r="M111" s="10">
        <v>7.08</v>
      </c>
      <c r="N111" s="10">
        <f t="shared" si="2"/>
        <v>1.1933085501858738</v>
      </c>
      <c r="O111" s="10">
        <f t="shared" si="3"/>
        <v>3.3209876543209877</v>
      </c>
      <c r="P111" s="8" t="s">
        <v>436</v>
      </c>
      <c r="Q111" s="8" t="s">
        <v>357</v>
      </c>
      <c r="R111" s="10">
        <v>4.5999999999999996</v>
      </c>
      <c r="S111" s="10">
        <v>15.1</v>
      </c>
      <c r="T111" s="10">
        <v>103</v>
      </c>
      <c r="U111" s="10">
        <v>75</v>
      </c>
      <c r="V111" s="8">
        <v>2</v>
      </c>
      <c r="W111" s="8" t="s">
        <v>375</v>
      </c>
      <c r="X111" s="8" t="s">
        <v>188</v>
      </c>
      <c r="Y111" s="8" t="s">
        <v>364</v>
      </c>
    </row>
    <row r="112" spans="1:25" x14ac:dyDescent="0.25">
      <c r="A112" s="8" t="s">
        <v>180</v>
      </c>
      <c r="B112" s="8" t="s">
        <v>61</v>
      </c>
      <c r="C112" s="8">
        <v>3</v>
      </c>
      <c r="D112" s="8" t="s">
        <v>385</v>
      </c>
      <c r="E112" s="8" t="s">
        <v>15</v>
      </c>
      <c r="F112" s="8" t="s">
        <v>184</v>
      </c>
      <c r="G112" s="17">
        <v>0.6</v>
      </c>
      <c r="H112" s="17">
        <v>0</v>
      </c>
      <c r="I112" s="8" t="s">
        <v>430</v>
      </c>
      <c r="J112" s="10">
        <v>45.6</v>
      </c>
      <c r="K112" s="10">
        <v>55.4</v>
      </c>
      <c r="L112" s="10">
        <v>13.7</v>
      </c>
      <c r="M112" s="10">
        <v>29.61</v>
      </c>
      <c r="N112" s="10">
        <f t="shared" si="2"/>
        <v>0.82310469314079426</v>
      </c>
      <c r="O112" s="10">
        <f t="shared" si="3"/>
        <v>4.0437956204379564</v>
      </c>
      <c r="P112" s="8" t="s">
        <v>437</v>
      </c>
      <c r="Q112" s="8" t="s">
        <v>354</v>
      </c>
      <c r="R112" s="10">
        <v>8</v>
      </c>
      <c r="S112" s="10">
        <v>21.5</v>
      </c>
      <c r="T112" s="10">
        <v>98</v>
      </c>
      <c r="U112" s="10">
        <v>85</v>
      </c>
      <c r="V112" s="8">
        <v>1</v>
      </c>
      <c r="W112" s="8" t="s">
        <v>375</v>
      </c>
      <c r="X112" s="8" t="s">
        <v>187</v>
      </c>
      <c r="Y112" s="8" t="s">
        <v>364</v>
      </c>
    </row>
    <row r="113" spans="1:25" x14ac:dyDescent="0.25">
      <c r="A113" s="8" t="s">
        <v>181</v>
      </c>
      <c r="B113" s="8" t="s">
        <v>62</v>
      </c>
      <c r="C113" s="8">
        <v>2</v>
      </c>
      <c r="D113" s="8" t="s">
        <v>388</v>
      </c>
      <c r="E113" s="8" t="s">
        <v>15</v>
      </c>
      <c r="F113" s="8" t="s">
        <v>184</v>
      </c>
      <c r="G113" s="17">
        <v>0</v>
      </c>
      <c r="H113" s="17">
        <v>0.05</v>
      </c>
      <c r="I113" s="8" t="s">
        <v>428</v>
      </c>
      <c r="J113" s="10">
        <v>31.5</v>
      </c>
      <c r="K113" s="10">
        <v>40.1</v>
      </c>
      <c r="L113" s="10">
        <v>13.2</v>
      </c>
      <c r="M113" s="10">
        <v>13.6</v>
      </c>
      <c r="N113" s="10">
        <f t="shared" si="2"/>
        <v>0.78553615960099743</v>
      </c>
      <c r="O113" s="10">
        <f t="shared" si="3"/>
        <v>3.0378787878787881</v>
      </c>
      <c r="P113" s="8" t="s">
        <v>437</v>
      </c>
      <c r="Q113" s="8" t="s">
        <v>355</v>
      </c>
      <c r="R113" s="10">
        <v>13.2</v>
      </c>
      <c r="S113" s="10">
        <v>27.3</v>
      </c>
      <c r="T113" s="10">
        <v>117</v>
      </c>
      <c r="U113" s="10">
        <v>71</v>
      </c>
      <c r="V113" s="8">
        <v>3</v>
      </c>
      <c r="W113" s="8" t="s">
        <v>375</v>
      </c>
      <c r="X113" s="8" t="s">
        <v>189</v>
      </c>
      <c r="Y113" s="8" t="s">
        <v>364</v>
      </c>
    </row>
    <row r="114" spans="1:25" x14ac:dyDescent="0.25">
      <c r="A114" s="8" t="s">
        <v>98</v>
      </c>
      <c r="B114" s="8" t="s">
        <v>62</v>
      </c>
      <c r="C114" s="8">
        <v>2</v>
      </c>
      <c r="D114" s="8" t="s">
        <v>386</v>
      </c>
      <c r="E114" s="8" t="s">
        <v>21</v>
      </c>
      <c r="F114" s="8" t="s">
        <v>184</v>
      </c>
      <c r="G114" s="17">
        <v>0.4</v>
      </c>
      <c r="H114" s="17">
        <v>0</v>
      </c>
      <c r="I114" s="8" t="s">
        <v>430</v>
      </c>
      <c r="J114" s="10">
        <v>55.5</v>
      </c>
      <c r="K114" s="10">
        <v>38.9</v>
      </c>
      <c r="L114" s="10">
        <v>11.8</v>
      </c>
      <c r="M114" s="10">
        <v>25.2</v>
      </c>
      <c r="N114" s="10">
        <f t="shared" si="2"/>
        <v>1.4267352185089974</v>
      </c>
      <c r="O114" s="10">
        <f t="shared" si="3"/>
        <v>3.2966101694915251</v>
      </c>
      <c r="P114" s="8" t="s">
        <v>436</v>
      </c>
      <c r="Q114" s="8" t="s">
        <v>356</v>
      </c>
      <c r="V114" s="8">
        <v>2</v>
      </c>
      <c r="W114" s="8" t="s">
        <v>381</v>
      </c>
      <c r="X114" s="8" t="s">
        <v>187</v>
      </c>
      <c r="Y114" s="8" t="s">
        <v>368</v>
      </c>
    </row>
    <row r="115" spans="1:25" x14ac:dyDescent="0.25">
      <c r="A115" s="8" t="s">
        <v>45</v>
      </c>
      <c r="B115" s="8" t="s">
        <v>62</v>
      </c>
      <c r="C115" s="8">
        <v>2</v>
      </c>
      <c r="D115" s="8" t="s">
        <v>386</v>
      </c>
      <c r="E115" s="8" t="s">
        <v>21</v>
      </c>
      <c r="F115" s="8" t="s">
        <v>184</v>
      </c>
      <c r="G115" s="17">
        <v>0.05</v>
      </c>
      <c r="H115" s="17">
        <v>0</v>
      </c>
      <c r="I115" s="8" t="s">
        <v>430</v>
      </c>
      <c r="J115" s="10">
        <v>36.700000000000003</v>
      </c>
      <c r="K115" s="10">
        <v>38.700000000000003</v>
      </c>
      <c r="L115" s="10">
        <v>13.9</v>
      </c>
      <c r="M115" s="10">
        <v>14.19</v>
      </c>
      <c r="N115" s="10">
        <f t="shared" si="2"/>
        <v>0.94832041343669249</v>
      </c>
      <c r="O115" s="10">
        <f t="shared" si="3"/>
        <v>2.7841726618705036</v>
      </c>
      <c r="P115" s="8" t="s">
        <v>437</v>
      </c>
      <c r="Q115" s="8" t="s">
        <v>355</v>
      </c>
      <c r="R115" s="10">
        <v>7.4</v>
      </c>
      <c r="S115" s="10">
        <v>33.6</v>
      </c>
      <c r="T115" s="10">
        <v>107</v>
      </c>
      <c r="U115" s="10">
        <v>66</v>
      </c>
      <c r="V115" s="8">
        <v>4</v>
      </c>
      <c r="W115" s="8" t="s">
        <v>376</v>
      </c>
      <c r="X115" s="8" t="s">
        <v>188</v>
      </c>
      <c r="Y115" s="8" t="s">
        <v>367</v>
      </c>
    </row>
    <row r="116" spans="1:25" x14ac:dyDescent="0.25">
      <c r="A116" s="8" t="s">
        <v>104</v>
      </c>
      <c r="B116" s="8" t="s">
        <v>62</v>
      </c>
      <c r="C116" s="8">
        <v>3</v>
      </c>
      <c r="D116" s="8" t="s">
        <v>401</v>
      </c>
      <c r="E116" s="8" t="s">
        <v>21</v>
      </c>
      <c r="F116" s="8" t="s">
        <v>184</v>
      </c>
      <c r="G116" s="17">
        <v>0</v>
      </c>
      <c r="H116" s="17">
        <v>0</v>
      </c>
      <c r="I116" s="8" t="s">
        <v>428</v>
      </c>
      <c r="J116" s="10">
        <v>26.3</v>
      </c>
      <c r="K116" s="10">
        <v>22.2</v>
      </c>
      <c r="L116" s="10">
        <v>5</v>
      </c>
      <c r="M116" s="10">
        <v>2.11</v>
      </c>
      <c r="N116" s="10">
        <f t="shared" si="2"/>
        <v>1.1846846846846848</v>
      </c>
      <c r="O116" s="10">
        <f t="shared" si="3"/>
        <v>4.4399999999999995</v>
      </c>
      <c r="P116" s="8" t="s">
        <v>437</v>
      </c>
      <c r="Q116" s="8" t="s">
        <v>354</v>
      </c>
      <c r="R116" s="10">
        <v>2.5</v>
      </c>
      <c r="S116" s="10">
        <v>12.8</v>
      </c>
      <c r="T116" s="10">
        <v>108</v>
      </c>
      <c r="U116" s="10">
        <v>84</v>
      </c>
      <c r="V116" s="8">
        <v>2</v>
      </c>
      <c r="W116" s="8" t="s">
        <v>375</v>
      </c>
      <c r="X116" s="8" t="s">
        <v>186</v>
      </c>
      <c r="Y116" s="8" t="s">
        <v>364</v>
      </c>
    </row>
    <row r="117" spans="1:25" x14ac:dyDescent="0.25">
      <c r="A117" s="8" t="s">
        <v>105</v>
      </c>
      <c r="B117" s="8" t="s">
        <v>62</v>
      </c>
      <c r="C117" s="8">
        <v>3</v>
      </c>
      <c r="D117" s="8" t="s">
        <v>388</v>
      </c>
      <c r="E117" s="8" t="s">
        <v>15</v>
      </c>
      <c r="F117" s="8" t="s">
        <v>184</v>
      </c>
      <c r="G117" s="17">
        <v>0</v>
      </c>
      <c r="H117" s="17">
        <v>0</v>
      </c>
      <c r="I117" s="8" t="s">
        <v>428</v>
      </c>
      <c r="J117" s="10">
        <v>12.6</v>
      </c>
      <c r="K117" s="10">
        <v>7.6</v>
      </c>
      <c r="L117" s="10">
        <v>4.4000000000000004</v>
      </c>
      <c r="M117" s="10">
        <v>0.44</v>
      </c>
      <c r="N117" s="10">
        <f t="shared" si="2"/>
        <v>1.6578947368421053</v>
      </c>
      <c r="O117" s="10">
        <f t="shared" si="3"/>
        <v>1.7272727272727271</v>
      </c>
      <c r="P117" s="8" t="s">
        <v>434</v>
      </c>
      <c r="Q117" s="8" t="s">
        <v>358</v>
      </c>
      <c r="V117" s="8">
        <v>3</v>
      </c>
      <c r="X117" s="8" t="s">
        <v>416</v>
      </c>
      <c r="Y117" s="8" t="s">
        <v>370</v>
      </c>
    </row>
    <row r="118" spans="1:25" x14ac:dyDescent="0.25">
      <c r="A118" s="8" t="s">
        <v>182</v>
      </c>
      <c r="B118" s="8" t="s">
        <v>62</v>
      </c>
      <c r="C118" s="8">
        <v>2</v>
      </c>
      <c r="D118" s="8" t="s">
        <v>388</v>
      </c>
      <c r="E118" s="8" t="s">
        <v>15</v>
      </c>
      <c r="F118" s="8" t="s">
        <v>184</v>
      </c>
      <c r="G118" s="17">
        <v>0</v>
      </c>
      <c r="H118" s="17">
        <v>0.3</v>
      </c>
      <c r="I118" s="8" t="s">
        <v>428</v>
      </c>
      <c r="J118" s="10">
        <v>26.8</v>
      </c>
      <c r="K118" s="10">
        <v>14.6</v>
      </c>
      <c r="L118" s="10">
        <v>6.4</v>
      </c>
      <c r="M118" s="10">
        <v>3.27</v>
      </c>
      <c r="N118" s="10">
        <f t="shared" si="2"/>
        <v>1.8356164383561644</v>
      </c>
      <c r="O118" s="10">
        <f t="shared" si="3"/>
        <v>2.28125</v>
      </c>
      <c r="P118" s="8" t="s">
        <v>434</v>
      </c>
      <c r="Q118" s="8" t="s">
        <v>358</v>
      </c>
      <c r="V118" s="8">
        <v>3</v>
      </c>
      <c r="X118" s="8" t="s">
        <v>416</v>
      </c>
      <c r="Y118" s="8" t="s">
        <v>370</v>
      </c>
    </row>
    <row r="119" spans="1:25" x14ac:dyDescent="0.25">
      <c r="A119" s="8" t="s">
        <v>183</v>
      </c>
      <c r="B119" s="8" t="s">
        <v>62</v>
      </c>
      <c r="C119" s="8">
        <v>2</v>
      </c>
      <c r="D119" s="8" t="s">
        <v>388</v>
      </c>
      <c r="E119" s="8" t="s">
        <v>15</v>
      </c>
      <c r="F119" s="8" t="s">
        <v>184</v>
      </c>
      <c r="G119" s="17">
        <v>0</v>
      </c>
      <c r="H119" s="17">
        <v>0.05</v>
      </c>
      <c r="I119" s="8" t="s">
        <v>428</v>
      </c>
      <c r="J119" s="10">
        <v>19</v>
      </c>
      <c r="K119" s="10">
        <v>12.3</v>
      </c>
      <c r="L119" s="10">
        <v>7.6</v>
      </c>
      <c r="M119" s="10">
        <v>1.83</v>
      </c>
      <c r="N119" s="10">
        <f t="shared" si="2"/>
        <v>1.5447154471544715</v>
      </c>
      <c r="O119" s="10">
        <f t="shared" si="3"/>
        <v>1.6184210526315792</v>
      </c>
      <c r="P119" s="8" t="s">
        <v>438</v>
      </c>
      <c r="Q119" s="8" t="s">
        <v>356</v>
      </c>
      <c r="V119" s="8">
        <v>4</v>
      </c>
      <c r="X119" s="8" t="s">
        <v>416</v>
      </c>
      <c r="Y119" s="8" t="s">
        <v>370</v>
      </c>
    </row>
  </sheetData>
  <autoFilter ref="A1:Y119" xr:uid="{28E17E14-40CE-4BB1-AE3A-B902A7DF34E3}"/>
  <phoneticPr fontId="1" type="noConversion"/>
  <conditionalFormatting sqref="O1:O1048576">
    <cfRule type="cellIs" dxfId="0" priority="2" operator="equal">
      <formula>0.74</formula>
    </cfRule>
  </conditionalFormatting>
  <dataValidations count="7">
    <dataValidation type="list" allowBlank="1" showInputMessage="1" showErrorMessage="1" sqref="G120:H1048576" xr:uid="{69FC47DD-67F7-4878-8593-AD0DF42E31FE}">
      <formula1>"0%,1-20%,20-40%,40-60%,60-80%,80-99%,100%"</formula1>
    </dataValidation>
    <dataValidation type="list" allowBlank="1" showInputMessage="1" showErrorMessage="1" sqref="I120:I1048576" xr:uid="{8BDCC8A6-825C-4B06-91D8-F6C5FC78212F}">
      <formula1>"primary,proximal,crescent,distal,central,tertiary"</formula1>
    </dataValidation>
    <dataValidation type="list" allowBlank="1" showInputMessage="1" showErrorMessage="1" sqref="E120:E1048576" xr:uid="{4B43942D-F2D1-4ECB-B07E-9F69883B0877}">
      <formula1>"unwthrd,sl_wthrd,md_wthrd,hi_wthrd"</formula1>
    </dataValidation>
    <dataValidation type="list" allowBlank="1" showInputMessage="1" showErrorMessage="1" sqref="Q120:Q1048576" xr:uid="{45CC007D-30F3-4D00-9A83-D86CAA78AD1C}">
      <formula1>"cortical,cleavage,plain,dihedral,facetted,linear,punctiform"</formula1>
    </dataValidation>
    <dataValidation type="list" allowBlank="1" showInputMessage="1" showErrorMessage="1" sqref="P120:P1048576" xr:uid="{8930076A-8957-46E3-A04E-7C0FD288280B}">
      <formula1>"feathered,hinged,stepped,plugging,overshot,pointed"</formula1>
    </dataValidation>
    <dataValidation type="list" allowBlank="1" showInputMessage="1" showErrorMessage="1" sqref="W120:X1048576" xr:uid="{C2D64173-76E2-400B-AC08-773CBAA376D8}">
      <formula1>"primary,proximal,convergent,distal,oppose,lateral,orthogonal,multi_orthogonal,centripetal,crest,indetermined"</formula1>
    </dataValidation>
    <dataValidation type="list" allowBlank="1" showInputMessage="1" showErrorMessage="1" sqref="Y120:Y1048576" xr:uid="{019B76D2-524D-4C7D-A09C-6D322620905C}">
      <formula1>"cortical_flake,semi_cortical_flake,unipolar_flake,convergent_flake,bipolar_flake,orthogonal_flake,centripetal_flake,naturally_back_flake,debordant_flake,pseudo_levallois_point,kombewa_flake,crest_flake,ordinary_flake,boa_flake,debris"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8DA9D-13A5-4FA1-94E2-20454E30CA8E}">
  <dimension ref="A1:M174"/>
  <sheetViews>
    <sheetView zoomScaleNormal="100" workbookViewId="0">
      <selection activeCell="L35" sqref="L35"/>
    </sheetView>
  </sheetViews>
  <sheetFormatPr defaultColWidth="8.6640625" defaultRowHeight="15.6" x14ac:dyDescent="0.25"/>
  <cols>
    <col min="1" max="1" width="13.6640625" style="8" customWidth="1"/>
    <col min="2" max="2" width="7.6640625" style="8" customWidth="1"/>
    <col min="3" max="3" width="6.6640625" style="8" customWidth="1"/>
    <col min="4" max="4" width="9.44140625" style="8" customWidth="1"/>
    <col min="5" max="5" width="10.44140625" style="8" customWidth="1"/>
    <col min="6" max="6" width="13.6640625" style="8" customWidth="1"/>
    <col min="7" max="8" width="8.6640625" style="8"/>
    <col min="9" max="10" width="8.6640625" style="10"/>
    <col min="11" max="11" width="9.109375" style="10" customWidth="1"/>
    <col min="12" max="12" width="8.6640625" style="10"/>
    <col min="13" max="13" width="17.44140625" style="8" bestFit="1" customWidth="1"/>
    <col min="14" max="16384" width="8.6640625" style="8"/>
  </cols>
  <sheetData>
    <row r="1" spans="1:13" x14ac:dyDescent="0.25">
      <c r="A1" s="1" t="s">
        <v>44</v>
      </c>
      <c r="B1" s="2" t="s">
        <v>59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5</v>
      </c>
      <c r="H1" s="2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33</v>
      </c>
    </row>
    <row r="2" spans="1:13" x14ac:dyDescent="0.25">
      <c r="A2" s="8" t="s">
        <v>327</v>
      </c>
      <c r="B2" s="8" t="s">
        <v>60</v>
      </c>
      <c r="C2" s="8">
        <v>2</v>
      </c>
      <c r="D2" s="8" t="s">
        <v>391</v>
      </c>
      <c r="E2" s="8" t="s">
        <v>15</v>
      </c>
      <c r="F2" s="8" t="s">
        <v>215</v>
      </c>
      <c r="G2" s="9">
        <v>0.35</v>
      </c>
      <c r="H2" s="9">
        <v>0</v>
      </c>
      <c r="I2" s="10">
        <v>39.200000000000003</v>
      </c>
      <c r="J2" s="10">
        <v>35.4</v>
      </c>
      <c r="K2" s="10">
        <v>9.1</v>
      </c>
      <c r="L2" s="10">
        <v>14.1</v>
      </c>
      <c r="M2" s="8" t="s">
        <v>421</v>
      </c>
    </row>
    <row r="3" spans="1:13" x14ac:dyDescent="0.25">
      <c r="A3" s="8" t="s">
        <v>340</v>
      </c>
      <c r="B3" s="8" t="s">
        <v>60</v>
      </c>
      <c r="C3" s="8">
        <v>3</v>
      </c>
      <c r="D3" s="8" t="s">
        <v>391</v>
      </c>
      <c r="E3" s="8" t="s">
        <v>15</v>
      </c>
      <c r="F3" s="8" t="s">
        <v>215</v>
      </c>
      <c r="G3" s="9">
        <v>0.05</v>
      </c>
      <c r="H3" s="9">
        <v>0.05</v>
      </c>
      <c r="I3" s="10">
        <v>32.799999999999997</v>
      </c>
      <c r="J3" s="10">
        <v>21.9</v>
      </c>
      <c r="K3" s="10">
        <v>17.899999999999999</v>
      </c>
      <c r="L3" s="10">
        <v>7.71</v>
      </c>
      <c r="M3" s="8" t="s">
        <v>418</v>
      </c>
    </row>
    <row r="4" spans="1:13" x14ac:dyDescent="0.25">
      <c r="A4" s="8" t="s">
        <v>344</v>
      </c>
      <c r="B4" s="8" t="s">
        <v>60</v>
      </c>
      <c r="C4" s="8">
        <v>3</v>
      </c>
      <c r="D4" s="8" t="s">
        <v>391</v>
      </c>
      <c r="E4" s="8" t="s">
        <v>15</v>
      </c>
      <c r="F4" s="8" t="s">
        <v>215</v>
      </c>
      <c r="G4" s="9">
        <v>0</v>
      </c>
      <c r="H4" s="9">
        <v>0</v>
      </c>
      <c r="I4" s="10">
        <v>20</v>
      </c>
      <c r="J4" s="10">
        <v>14.1</v>
      </c>
      <c r="K4" s="10">
        <v>9</v>
      </c>
      <c r="L4" s="10">
        <v>1.32</v>
      </c>
      <c r="M4" s="8" t="s">
        <v>420</v>
      </c>
    </row>
    <row r="5" spans="1:13" x14ac:dyDescent="0.25">
      <c r="A5" s="8" t="s">
        <v>345</v>
      </c>
      <c r="B5" s="8" t="s">
        <v>60</v>
      </c>
      <c r="C5" s="8">
        <v>3</v>
      </c>
      <c r="D5" s="8" t="s">
        <v>391</v>
      </c>
      <c r="E5" s="8" t="s">
        <v>15</v>
      </c>
      <c r="F5" s="8" t="s">
        <v>215</v>
      </c>
      <c r="G5" s="9">
        <v>1</v>
      </c>
      <c r="H5" s="9">
        <v>0</v>
      </c>
      <c r="I5" s="10">
        <v>25.5</v>
      </c>
      <c r="J5" s="10">
        <v>13.2</v>
      </c>
      <c r="K5" s="10">
        <v>9.4</v>
      </c>
      <c r="L5" s="10">
        <v>2.96</v>
      </c>
      <c r="M5" s="8" t="s">
        <v>419</v>
      </c>
    </row>
    <row r="6" spans="1:13" x14ac:dyDescent="0.25">
      <c r="A6" s="8" t="s">
        <v>346</v>
      </c>
      <c r="B6" s="8" t="s">
        <v>60</v>
      </c>
      <c r="C6" s="8">
        <v>3</v>
      </c>
      <c r="D6" s="8" t="s">
        <v>391</v>
      </c>
      <c r="E6" s="8" t="s">
        <v>15</v>
      </c>
      <c r="F6" s="8" t="s">
        <v>215</v>
      </c>
      <c r="G6" s="9">
        <v>0</v>
      </c>
      <c r="H6" s="9">
        <v>0</v>
      </c>
      <c r="I6" s="10">
        <v>11.9</v>
      </c>
      <c r="J6" s="10">
        <v>9</v>
      </c>
      <c r="K6" s="10">
        <v>3.3</v>
      </c>
      <c r="L6" s="10">
        <v>0.39</v>
      </c>
      <c r="M6" s="8" t="s">
        <v>423</v>
      </c>
    </row>
    <row r="7" spans="1:13" x14ac:dyDescent="0.25">
      <c r="A7" s="8" t="s">
        <v>181</v>
      </c>
      <c r="B7" s="8" t="s">
        <v>60</v>
      </c>
      <c r="C7" s="8">
        <v>2</v>
      </c>
      <c r="D7" s="8" t="s">
        <v>391</v>
      </c>
      <c r="E7" s="8" t="s">
        <v>15</v>
      </c>
      <c r="F7" s="8" t="s">
        <v>215</v>
      </c>
      <c r="G7" s="9">
        <v>0</v>
      </c>
      <c r="H7" s="9">
        <v>0.2</v>
      </c>
      <c r="I7" s="10">
        <v>28.5</v>
      </c>
      <c r="J7" s="10">
        <v>16.2</v>
      </c>
      <c r="K7" s="10">
        <v>6.9</v>
      </c>
      <c r="L7" s="10">
        <v>2.79</v>
      </c>
      <c r="M7" s="8" t="s">
        <v>425</v>
      </c>
    </row>
    <row r="8" spans="1:13" x14ac:dyDescent="0.25">
      <c r="A8" s="8" t="s">
        <v>127</v>
      </c>
      <c r="B8" s="8" t="s">
        <v>60</v>
      </c>
      <c r="C8" s="8">
        <v>2</v>
      </c>
      <c r="D8" s="8" t="s">
        <v>392</v>
      </c>
      <c r="E8" s="8" t="s">
        <v>21</v>
      </c>
      <c r="F8" s="8" t="s">
        <v>215</v>
      </c>
      <c r="G8" s="9">
        <v>0.2</v>
      </c>
      <c r="H8" s="9">
        <v>0</v>
      </c>
      <c r="I8" s="10">
        <v>25.4</v>
      </c>
      <c r="J8" s="10">
        <v>36.700000000000003</v>
      </c>
      <c r="K8" s="10">
        <v>7.8</v>
      </c>
      <c r="L8" s="10">
        <v>7.14</v>
      </c>
      <c r="M8" s="8" t="s">
        <v>425</v>
      </c>
    </row>
    <row r="9" spans="1:13" x14ac:dyDescent="0.25">
      <c r="A9" s="8" t="s">
        <v>194</v>
      </c>
      <c r="B9" s="8" t="s">
        <v>60</v>
      </c>
      <c r="C9" s="8">
        <v>3</v>
      </c>
      <c r="D9" s="8" t="s">
        <v>402</v>
      </c>
      <c r="E9" s="8" t="s">
        <v>15</v>
      </c>
      <c r="F9" s="8" t="s">
        <v>215</v>
      </c>
      <c r="G9" s="9">
        <v>0</v>
      </c>
      <c r="H9" s="9">
        <v>0</v>
      </c>
      <c r="I9" s="10">
        <v>18.899999999999999</v>
      </c>
      <c r="J9" s="10">
        <v>14.8</v>
      </c>
      <c r="K9" s="10">
        <v>6.1</v>
      </c>
      <c r="L9" s="10">
        <v>0.96</v>
      </c>
      <c r="M9" s="8" t="s">
        <v>419</v>
      </c>
    </row>
    <row r="10" spans="1:13" x14ac:dyDescent="0.25">
      <c r="A10" s="8" t="s">
        <v>195</v>
      </c>
      <c r="B10" s="8" t="s">
        <v>60</v>
      </c>
      <c r="C10" s="8">
        <v>3</v>
      </c>
      <c r="D10" s="8" t="s">
        <v>393</v>
      </c>
      <c r="E10" s="8" t="s">
        <v>15</v>
      </c>
      <c r="F10" s="8" t="s">
        <v>215</v>
      </c>
      <c r="G10" s="9">
        <v>0</v>
      </c>
      <c r="H10" s="9">
        <v>0</v>
      </c>
      <c r="I10" s="10">
        <v>15.2</v>
      </c>
      <c r="J10" s="10">
        <v>18.3</v>
      </c>
      <c r="K10" s="10">
        <v>6.9</v>
      </c>
      <c r="L10" s="10">
        <v>1.94</v>
      </c>
      <c r="M10" s="8" t="s">
        <v>424</v>
      </c>
    </row>
    <row r="11" spans="1:13" x14ac:dyDescent="0.25">
      <c r="A11" s="8" t="s">
        <v>124</v>
      </c>
      <c r="B11" s="8" t="s">
        <v>60</v>
      </c>
      <c r="C11" s="8">
        <v>3</v>
      </c>
      <c r="D11" s="8" t="s">
        <v>402</v>
      </c>
      <c r="E11" s="8" t="s">
        <v>15</v>
      </c>
      <c r="F11" s="8" t="s">
        <v>215</v>
      </c>
      <c r="G11" s="9">
        <v>0</v>
      </c>
      <c r="H11" s="9">
        <v>0</v>
      </c>
      <c r="I11" s="10">
        <v>21.5</v>
      </c>
      <c r="J11" s="10">
        <v>9</v>
      </c>
      <c r="K11" s="10">
        <v>4.5999999999999996</v>
      </c>
      <c r="L11" s="10">
        <v>0.7</v>
      </c>
      <c r="M11" s="8" t="s">
        <v>419</v>
      </c>
    </row>
    <row r="12" spans="1:13" x14ac:dyDescent="0.25">
      <c r="A12" s="8" t="s">
        <v>51</v>
      </c>
      <c r="B12" s="8" t="s">
        <v>60</v>
      </c>
      <c r="C12" s="8">
        <v>3</v>
      </c>
      <c r="D12" s="8" t="s">
        <v>394</v>
      </c>
      <c r="E12" s="8" t="s">
        <v>15</v>
      </c>
      <c r="F12" s="8" t="s">
        <v>215</v>
      </c>
      <c r="G12" s="9">
        <v>0</v>
      </c>
      <c r="H12" s="9">
        <v>0</v>
      </c>
      <c r="I12" s="10">
        <v>20.6</v>
      </c>
      <c r="J12" s="10">
        <v>12.9</v>
      </c>
      <c r="K12" s="10">
        <v>2.9</v>
      </c>
      <c r="L12" s="10">
        <v>0.72</v>
      </c>
      <c r="M12" s="8" t="s">
        <v>417</v>
      </c>
    </row>
    <row r="13" spans="1:13" x14ac:dyDescent="0.25">
      <c r="A13" s="8" t="s">
        <v>137</v>
      </c>
      <c r="B13" s="8" t="s">
        <v>60</v>
      </c>
      <c r="C13" s="8">
        <v>3</v>
      </c>
      <c r="D13" s="8" t="s">
        <v>391</v>
      </c>
      <c r="E13" s="8" t="s">
        <v>15</v>
      </c>
      <c r="F13" s="8" t="s">
        <v>215</v>
      </c>
      <c r="G13" s="9">
        <v>0</v>
      </c>
      <c r="H13" s="9">
        <v>0</v>
      </c>
      <c r="I13" s="10">
        <v>18.399999999999999</v>
      </c>
      <c r="J13" s="10">
        <v>9</v>
      </c>
      <c r="K13" s="10">
        <v>5.4</v>
      </c>
      <c r="L13" s="10">
        <v>0.79</v>
      </c>
      <c r="M13" s="8" t="s">
        <v>417</v>
      </c>
    </row>
    <row r="14" spans="1:13" x14ac:dyDescent="0.25">
      <c r="A14" s="8" t="s">
        <v>138</v>
      </c>
      <c r="B14" s="8" t="s">
        <v>60</v>
      </c>
      <c r="C14" s="8">
        <v>3</v>
      </c>
      <c r="D14" s="8" t="s">
        <v>391</v>
      </c>
      <c r="E14" s="8" t="s">
        <v>21</v>
      </c>
      <c r="F14" s="8" t="s">
        <v>215</v>
      </c>
      <c r="G14" s="9">
        <v>0.05</v>
      </c>
      <c r="H14" s="9">
        <v>0</v>
      </c>
      <c r="I14" s="10">
        <v>20.100000000000001</v>
      </c>
      <c r="J14" s="10">
        <v>19.2</v>
      </c>
      <c r="K14" s="10">
        <v>8.8000000000000007</v>
      </c>
      <c r="L14" s="10">
        <v>2.59</v>
      </c>
      <c r="M14" s="8" t="s">
        <v>419</v>
      </c>
    </row>
    <row r="15" spans="1:13" x14ac:dyDescent="0.25">
      <c r="A15" s="8" t="s">
        <v>196</v>
      </c>
      <c r="B15" s="8" t="s">
        <v>60</v>
      </c>
      <c r="C15" s="8">
        <v>3</v>
      </c>
      <c r="D15" s="8" t="s">
        <v>391</v>
      </c>
      <c r="E15" s="8" t="s">
        <v>15</v>
      </c>
      <c r="F15" s="8" t="s">
        <v>215</v>
      </c>
      <c r="G15" s="9">
        <v>0</v>
      </c>
      <c r="H15" s="9">
        <v>0</v>
      </c>
      <c r="I15" s="10">
        <v>32.799999999999997</v>
      </c>
      <c r="J15" s="10">
        <v>14</v>
      </c>
      <c r="K15" s="10">
        <v>5.9</v>
      </c>
      <c r="L15" s="10">
        <v>2.16</v>
      </c>
      <c r="M15" s="8" t="s">
        <v>424</v>
      </c>
    </row>
    <row r="16" spans="1:13" x14ac:dyDescent="0.25">
      <c r="A16" s="8" t="s">
        <v>197</v>
      </c>
      <c r="B16" s="8" t="s">
        <v>60</v>
      </c>
      <c r="C16" s="8">
        <v>3</v>
      </c>
      <c r="D16" s="8" t="s">
        <v>393</v>
      </c>
      <c r="E16" s="8" t="s">
        <v>15</v>
      </c>
      <c r="F16" s="8" t="s">
        <v>215</v>
      </c>
      <c r="G16" s="9">
        <v>0</v>
      </c>
      <c r="H16" s="9">
        <v>0</v>
      </c>
      <c r="I16" s="10">
        <v>23.4</v>
      </c>
      <c r="J16" s="10">
        <v>30.6</v>
      </c>
      <c r="K16" s="10">
        <v>4.2</v>
      </c>
      <c r="L16" s="10">
        <v>2.84</v>
      </c>
      <c r="M16" s="8" t="s">
        <v>424</v>
      </c>
    </row>
    <row r="17" spans="1:13" x14ac:dyDescent="0.25">
      <c r="A17" s="8" t="s">
        <v>140</v>
      </c>
      <c r="B17" s="8" t="s">
        <v>60</v>
      </c>
      <c r="C17" s="8">
        <v>3</v>
      </c>
      <c r="D17" s="8" t="s">
        <v>391</v>
      </c>
      <c r="E17" s="8" t="s">
        <v>15</v>
      </c>
      <c r="F17" s="8" t="s">
        <v>215</v>
      </c>
      <c r="G17" s="9">
        <v>0</v>
      </c>
      <c r="H17" s="9">
        <v>0</v>
      </c>
      <c r="I17" s="10">
        <v>15.3</v>
      </c>
      <c r="J17" s="10">
        <v>14.2</v>
      </c>
      <c r="K17" s="10">
        <v>4.9000000000000004</v>
      </c>
      <c r="L17" s="10">
        <v>0.97</v>
      </c>
      <c r="M17" s="8" t="s">
        <v>417</v>
      </c>
    </row>
    <row r="18" spans="1:13" x14ac:dyDescent="0.25">
      <c r="A18" s="8" t="s">
        <v>198</v>
      </c>
      <c r="B18" s="8" t="s">
        <v>60</v>
      </c>
      <c r="C18" s="8">
        <v>3</v>
      </c>
      <c r="D18" s="8" t="s">
        <v>391</v>
      </c>
      <c r="E18" s="8" t="s">
        <v>21</v>
      </c>
      <c r="F18" s="8" t="s">
        <v>215</v>
      </c>
      <c r="G18" s="9">
        <v>0</v>
      </c>
      <c r="H18" s="9">
        <v>0.35</v>
      </c>
      <c r="I18" s="10">
        <v>37.1</v>
      </c>
      <c r="J18" s="10">
        <v>20.8</v>
      </c>
      <c r="K18" s="10">
        <v>8.8000000000000007</v>
      </c>
      <c r="L18" s="10">
        <v>7.16</v>
      </c>
      <c r="M18" s="8" t="s">
        <v>417</v>
      </c>
    </row>
    <row r="19" spans="1:13" x14ac:dyDescent="0.25">
      <c r="A19" s="8" t="s">
        <v>199</v>
      </c>
      <c r="B19" s="8" t="s">
        <v>60</v>
      </c>
      <c r="C19" s="8">
        <v>3</v>
      </c>
      <c r="D19" s="8" t="s">
        <v>402</v>
      </c>
      <c r="E19" s="8" t="s">
        <v>21</v>
      </c>
      <c r="F19" s="8" t="s">
        <v>215</v>
      </c>
      <c r="G19" s="9">
        <v>0.25</v>
      </c>
      <c r="H19" s="9">
        <v>0.15</v>
      </c>
      <c r="I19" s="10">
        <v>25.1</v>
      </c>
      <c r="J19" s="10">
        <v>17.899999999999999</v>
      </c>
      <c r="K19" s="10">
        <v>9.1999999999999993</v>
      </c>
      <c r="L19" s="10">
        <v>3.15</v>
      </c>
      <c r="M19" s="8" t="s">
        <v>424</v>
      </c>
    </row>
    <row r="20" spans="1:13" x14ac:dyDescent="0.25">
      <c r="A20" s="8" t="s">
        <v>200</v>
      </c>
      <c r="B20" s="8" t="s">
        <v>60</v>
      </c>
      <c r="C20" s="8">
        <v>3</v>
      </c>
      <c r="D20" s="8" t="s">
        <v>391</v>
      </c>
      <c r="E20" s="8" t="s">
        <v>21</v>
      </c>
      <c r="F20" s="8" t="s">
        <v>215</v>
      </c>
      <c r="G20" s="9">
        <v>0.3</v>
      </c>
      <c r="H20" s="9">
        <v>0</v>
      </c>
      <c r="I20" s="10">
        <v>40.700000000000003</v>
      </c>
      <c r="J20" s="10">
        <v>32.9</v>
      </c>
      <c r="K20" s="10">
        <v>8.9</v>
      </c>
      <c r="L20" s="10">
        <v>9.48</v>
      </c>
      <c r="M20" s="8" t="s">
        <v>419</v>
      </c>
    </row>
    <row r="21" spans="1:13" x14ac:dyDescent="0.25">
      <c r="A21" s="8" t="s">
        <v>143</v>
      </c>
      <c r="B21" s="8" t="s">
        <v>60</v>
      </c>
      <c r="C21" s="8">
        <v>3</v>
      </c>
      <c r="D21" s="8" t="s">
        <v>391</v>
      </c>
      <c r="E21" s="8" t="s">
        <v>15</v>
      </c>
      <c r="F21" s="8" t="s">
        <v>215</v>
      </c>
      <c r="G21" s="9">
        <v>0</v>
      </c>
      <c r="H21" s="9">
        <v>0.45</v>
      </c>
      <c r="I21" s="10">
        <v>40.9</v>
      </c>
      <c r="J21" s="10">
        <v>21.4</v>
      </c>
      <c r="K21" s="10">
        <v>9.9</v>
      </c>
      <c r="L21" s="10">
        <v>8.2100000000000009</v>
      </c>
      <c r="M21" s="8" t="s">
        <v>417</v>
      </c>
    </row>
    <row r="22" spans="1:13" x14ac:dyDescent="0.25">
      <c r="A22" s="8" t="s">
        <v>99</v>
      </c>
      <c r="B22" s="8" t="s">
        <v>61</v>
      </c>
      <c r="C22" s="8">
        <v>2</v>
      </c>
      <c r="D22" s="8" t="s">
        <v>391</v>
      </c>
      <c r="E22" s="8" t="s">
        <v>21</v>
      </c>
      <c r="F22" s="8" t="s">
        <v>215</v>
      </c>
      <c r="G22" s="9">
        <v>0</v>
      </c>
      <c r="H22" s="9">
        <v>0</v>
      </c>
      <c r="I22" s="10">
        <v>26.2</v>
      </c>
      <c r="J22" s="10">
        <v>24.6</v>
      </c>
      <c r="K22" s="10">
        <v>8.1</v>
      </c>
      <c r="L22" s="10">
        <v>3.1</v>
      </c>
      <c r="M22" s="8" t="s">
        <v>417</v>
      </c>
    </row>
    <row r="23" spans="1:13" x14ac:dyDescent="0.25">
      <c r="A23" s="8" t="s">
        <v>56</v>
      </c>
      <c r="B23" s="8" t="s">
        <v>61</v>
      </c>
      <c r="C23" s="8">
        <v>2</v>
      </c>
      <c r="D23" s="8" t="s">
        <v>391</v>
      </c>
      <c r="E23" s="8" t="s">
        <v>15</v>
      </c>
      <c r="F23" s="8" t="s">
        <v>215</v>
      </c>
      <c r="G23" s="9">
        <v>1</v>
      </c>
      <c r="H23" s="9">
        <v>0</v>
      </c>
      <c r="I23" s="10">
        <v>29.5</v>
      </c>
      <c r="J23" s="10">
        <v>23.8</v>
      </c>
      <c r="K23" s="10">
        <v>7.8</v>
      </c>
      <c r="L23" s="10">
        <v>4.62</v>
      </c>
      <c r="M23" s="8" t="s">
        <v>419</v>
      </c>
    </row>
    <row r="24" spans="1:13" x14ac:dyDescent="0.25">
      <c r="A24" s="8" t="s">
        <v>105</v>
      </c>
      <c r="B24" s="8" t="s">
        <v>61</v>
      </c>
      <c r="C24" s="8">
        <v>3</v>
      </c>
      <c r="D24" s="8" t="s">
        <v>392</v>
      </c>
      <c r="E24" s="8" t="s">
        <v>15</v>
      </c>
      <c r="F24" s="8" t="s">
        <v>215</v>
      </c>
      <c r="G24" s="9">
        <v>1</v>
      </c>
      <c r="H24" s="9">
        <v>0</v>
      </c>
      <c r="I24" s="10">
        <v>36.1</v>
      </c>
      <c r="J24" s="10">
        <v>15.2</v>
      </c>
      <c r="K24" s="10">
        <v>8.3000000000000007</v>
      </c>
      <c r="L24" s="10">
        <v>4.38</v>
      </c>
      <c r="M24" s="8" t="s">
        <v>417</v>
      </c>
    </row>
    <row r="25" spans="1:13" x14ac:dyDescent="0.25">
      <c r="A25" s="8" t="s">
        <v>106</v>
      </c>
      <c r="B25" s="8" t="s">
        <v>61</v>
      </c>
      <c r="C25" s="8">
        <v>3</v>
      </c>
      <c r="D25" s="8" t="s">
        <v>392</v>
      </c>
      <c r="E25" s="8" t="s">
        <v>15</v>
      </c>
      <c r="F25" s="8" t="s">
        <v>215</v>
      </c>
      <c r="G25" s="9">
        <v>0</v>
      </c>
      <c r="H25" s="9">
        <v>0</v>
      </c>
      <c r="I25" s="10">
        <v>26.1</v>
      </c>
      <c r="J25" s="10">
        <v>19.5</v>
      </c>
      <c r="K25" s="10">
        <v>6.8</v>
      </c>
      <c r="L25" s="10">
        <v>3.73</v>
      </c>
      <c r="M25" s="8" t="s">
        <v>419</v>
      </c>
    </row>
    <row r="26" spans="1:13" x14ac:dyDescent="0.25">
      <c r="A26" s="8" t="s">
        <v>195</v>
      </c>
      <c r="B26" s="8" t="s">
        <v>61</v>
      </c>
      <c r="C26" s="8">
        <v>3</v>
      </c>
      <c r="D26" s="8" t="s">
        <v>391</v>
      </c>
      <c r="E26" s="8" t="s">
        <v>15</v>
      </c>
      <c r="F26" s="8" t="s">
        <v>215</v>
      </c>
      <c r="G26" s="9">
        <v>0.1</v>
      </c>
      <c r="H26" s="9">
        <v>0.1</v>
      </c>
      <c r="I26" s="10">
        <v>30.3</v>
      </c>
      <c r="J26" s="10">
        <v>20.8</v>
      </c>
      <c r="K26" s="10">
        <v>12.2</v>
      </c>
      <c r="L26" s="10">
        <v>5.15</v>
      </c>
      <c r="M26" s="8" t="s">
        <v>424</v>
      </c>
    </row>
    <row r="27" spans="1:13" x14ac:dyDescent="0.25">
      <c r="A27" s="8" t="s">
        <v>107</v>
      </c>
      <c r="B27" s="8" t="s">
        <v>61</v>
      </c>
      <c r="C27" s="8">
        <v>3</v>
      </c>
      <c r="D27" s="8" t="s">
        <v>402</v>
      </c>
      <c r="E27" s="8" t="s">
        <v>21</v>
      </c>
      <c r="F27" s="8" t="s">
        <v>215</v>
      </c>
      <c r="G27" s="9">
        <v>1</v>
      </c>
      <c r="H27" s="9">
        <v>0</v>
      </c>
      <c r="I27" s="10">
        <v>28.39</v>
      </c>
      <c r="J27" s="10">
        <v>14.8</v>
      </c>
      <c r="K27" s="10">
        <v>7.2</v>
      </c>
      <c r="L27" s="10">
        <v>2.36</v>
      </c>
      <c r="M27" s="8" t="s">
        <v>417</v>
      </c>
    </row>
    <row r="28" spans="1:13" x14ac:dyDescent="0.25">
      <c r="A28" s="8" t="s">
        <v>201</v>
      </c>
      <c r="B28" s="8" t="s">
        <v>61</v>
      </c>
      <c r="C28" s="8">
        <v>3</v>
      </c>
      <c r="D28" s="8" t="s">
        <v>391</v>
      </c>
      <c r="E28" s="8" t="s">
        <v>15</v>
      </c>
      <c r="F28" s="8" t="s">
        <v>215</v>
      </c>
      <c r="G28" s="9">
        <v>0</v>
      </c>
      <c r="H28" s="9">
        <v>0</v>
      </c>
      <c r="I28" s="10">
        <v>20.3</v>
      </c>
      <c r="J28" s="10">
        <v>24</v>
      </c>
      <c r="K28" s="10">
        <v>3.9</v>
      </c>
      <c r="L28" s="10">
        <v>1.66</v>
      </c>
      <c r="M28" s="8" t="s">
        <v>422</v>
      </c>
    </row>
    <row r="29" spans="1:13" x14ac:dyDescent="0.25">
      <c r="A29" s="8" t="s">
        <v>202</v>
      </c>
      <c r="B29" s="8" t="s">
        <v>61</v>
      </c>
      <c r="C29" s="8">
        <v>3</v>
      </c>
      <c r="D29" s="8" t="s">
        <v>392</v>
      </c>
      <c r="E29" s="8" t="s">
        <v>21</v>
      </c>
      <c r="F29" s="8" t="s">
        <v>215</v>
      </c>
      <c r="G29" s="9">
        <v>0</v>
      </c>
      <c r="H29" s="9">
        <v>0</v>
      </c>
      <c r="I29" s="10">
        <v>26.2</v>
      </c>
      <c r="J29" s="10">
        <v>22.5</v>
      </c>
      <c r="K29" s="10">
        <v>7.6</v>
      </c>
      <c r="L29" s="10">
        <v>2.85</v>
      </c>
      <c r="M29" s="8" t="s">
        <v>422</v>
      </c>
    </row>
    <row r="30" spans="1:13" x14ac:dyDescent="0.25">
      <c r="A30" s="8" t="s">
        <v>197</v>
      </c>
      <c r="B30" s="8" t="s">
        <v>61</v>
      </c>
      <c r="C30" s="8">
        <v>3</v>
      </c>
      <c r="D30" s="8" t="s">
        <v>392</v>
      </c>
      <c r="E30" s="8" t="s">
        <v>15</v>
      </c>
      <c r="F30" s="8" t="s">
        <v>215</v>
      </c>
      <c r="G30" s="9">
        <v>0</v>
      </c>
      <c r="H30" s="9">
        <v>0</v>
      </c>
      <c r="I30" s="10">
        <v>23</v>
      </c>
      <c r="J30" s="10">
        <v>25.8</v>
      </c>
      <c r="K30" s="10">
        <v>6.3</v>
      </c>
      <c r="L30" s="10">
        <v>3.47</v>
      </c>
      <c r="M30" s="8" t="s">
        <v>424</v>
      </c>
    </row>
    <row r="31" spans="1:13" x14ac:dyDescent="0.25">
      <c r="A31" s="8" t="s">
        <v>198</v>
      </c>
      <c r="B31" s="8" t="s">
        <v>61</v>
      </c>
      <c r="C31" s="8">
        <v>3</v>
      </c>
      <c r="D31" s="8" t="s">
        <v>391</v>
      </c>
      <c r="E31" s="8" t="s">
        <v>15</v>
      </c>
      <c r="F31" s="8" t="s">
        <v>215</v>
      </c>
      <c r="G31" s="9">
        <v>0</v>
      </c>
      <c r="H31" s="9">
        <v>0</v>
      </c>
      <c r="I31" s="10">
        <v>20.7</v>
      </c>
      <c r="J31" s="10">
        <v>22</v>
      </c>
      <c r="K31" s="10">
        <v>5.7</v>
      </c>
      <c r="L31" s="10">
        <v>1.55</v>
      </c>
      <c r="M31" s="8" t="s">
        <v>419</v>
      </c>
    </row>
    <row r="32" spans="1:13" x14ac:dyDescent="0.25">
      <c r="A32" s="8" t="s">
        <v>199</v>
      </c>
      <c r="B32" s="8" t="s">
        <v>61</v>
      </c>
      <c r="C32" s="8">
        <v>3</v>
      </c>
      <c r="D32" s="8" t="s">
        <v>393</v>
      </c>
      <c r="E32" s="8" t="s">
        <v>15</v>
      </c>
      <c r="F32" s="8" t="s">
        <v>215</v>
      </c>
      <c r="G32" s="9">
        <v>1</v>
      </c>
      <c r="H32" s="9">
        <v>0</v>
      </c>
      <c r="I32" s="10">
        <v>25.8</v>
      </c>
      <c r="J32" s="10">
        <v>22.3</v>
      </c>
      <c r="K32" s="10">
        <v>9.4</v>
      </c>
      <c r="L32" s="10">
        <v>5.94</v>
      </c>
      <c r="M32" s="8" t="s">
        <v>417</v>
      </c>
    </row>
    <row r="33" spans="1:13" x14ac:dyDescent="0.25">
      <c r="A33" s="8" t="s">
        <v>121</v>
      </c>
      <c r="B33" s="8" t="s">
        <v>61</v>
      </c>
      <c r="C33" s="8">
        <v>3</v>
      </c>
      <c r="D33" s="8" t="s">
        <v>391</v>
      </c>
      <c r="E33" s="8" t="s">
        <v>21</v>
      </c>
      <c r="F33" s="8" t="s">
        <v>215</v>
      </c>
      <c r="G33" s="9">
        <v>0</v>
      </c>
      <c r="H33" s="9">
        <v>0</v>
      </c>
      <c r="I33" s="10">
        <v>21.9</v>
      </c>
      <c r="J33" s="10">
        <v>18.399999999999999</v>
      </c>
      <c r="K33" s="10">
        <v>5.7</v>
      </c>
      <c r="L33" s="10">
        <v>1.33</v>
      </c>
      <c r="M33" s="8" t="s">
        <v>419</v>
      </c>
    </row>
    <row r="34" spans="1:13" x14ac:dyDescent="0.25">
      <c r="A34" s="8" t="s">
        <v>203</v>
      </c>
      <c r="B34" s="8" t="s">
        <v>61</v>
      </c>
      <c r="C34" s="8">
        <v>3</v>
      </c>
      <c r="D34" s="8" t="s">
        <v>391</v>
      </c>
      <c r="E34" s="8" t="s">
        <v>15</v>
      </c>
      <c r="F34" s="8" t="s">
        <v>215</v>
      </c>
      <c r="G34" s="9">
        <v>0</v>
      </c>
      <c r="H34" s="9">
        <v>0</v>
      </c>
      <c r="I34" s="10">
        <v>21.1</v>
      </c>
      <c r="J34" s="10">
        <v>9.8000000000000007</v>
      </c>
      <c r="K34" s="10">
        <v>4.2</v>
      </c>
      <c r="L34" s="10">
        <v>0.65</v>
      </c>
      <c r="M34" s="8" t="s">
        <v>425</v>
      </c>
    </row>
    <row r="35" spans="1:13" x14ac:dyDescent="0.25">
      <c r="A35" s="8" t="s">
        <v>204</v>
      </c>
      <c r="B35" s="8" t="s">
        <v>61</v>
      </c>
      <c r="C35" s="8">
        <v>3</v>
      </c>
      <c r="D35" s="8" t="s">
        <v>391</v>
      </c>
      <c r="E35" s="8" t="s">
        <v>15</v>
      </c>
      <c r="F35" s="8" t="s">
        <v>215</v>
      </c>
      <c r="G35" s="9">
        <v>1</v>
      </c>
      <c r="H35" s="9">
        <v>0</v>
      </c>
      <c r="I35" s="10">
        <v>30.6</v>
      </c>
      <c r="J35" s="10">
        <v>12.9</v>
      </c>
      <c r="K35" s="10">
        <v>6.8</v>
      </c>
      <c r="L35" s="10">
        <v>2.0499999999999998</v>
      </c>
      <c r="M35" s="8" t="s">
        <v>419</v>
      </c>
    </row>
    <row r="36" spans="1:13" x14ac:dyDescent="0.25">
      <c r="A36" s="8" t="s">
        <v>205</v>
      </c>
      <c r="B36" s="8" t="s">
        <v>61</v>
      </c>
      <c r="C36" s="8">
        <v>3</v>
      </c>
      <c r="D36" s="8" t="s">
        <v>391</v>
      </c>
      <c r="E36" s="8" t="s">
        <v>15</v>
      </c>
      <c r="F36" s="8" t="s">
        <v>215</v>
      </c>
      <c r="G36" s="9">
        <v>0</v>
      </c>
      <c r="H36" s="9">
        <v>0</v>
      </c>
      <c r="I36" s="10">
        <v>26.7</v>
      </c>
      <c r="J36" s="10">
        <v>15.3</v>
      </c>
      <c r="K36" s="10">
        <v>7.1</v>
      </c>
      <c r="L36" s="10">
        <v>2.58</v>
      </c>
      <c r="M36" s="8" t="s">
        <v>419</v>
      </c>
    </row>
    <row r="37" spans="1:13" x14ac:dyDescent="0.25">
      <c r="A37" s="8" t="s">
        <v>206</v>
      </c>
      <c r="B37" s="8" t="s">
        <v>61</v>
      </c>
      <c r="C37" s="8">
        <v>3</v>
      </c>
      <c r="D37" s="8" t="s">
        <v>393</v>
      </c>
      <c r="E37" s="8" t="s">
        <v>15</v>
      </c>
      <c r="F37" s="8" t="s">
        <v>215</v>
      </c>
      <c r="G37" s="9">
        <v>0</v>
      </c>
      <c r="H37" s="9">
        <v>0.3</v>
      </c>
      <c r="I37" s="10">
        <v>34.700000000000003</v>
      </c>
      <c r="J37" s="10">
        <v>22.9</v>
      </c>
      <c r="K37" s="10">
        <v>9.4</v>
      </c>
      <c r="L37" s="10">
        <v>4.83</v>
      </c>
      <c r="M37" s="8" t="s">
        <v>425</v>
      </c>
    </row>
    <row r="38" spans="1:13" x14ac:dyDescent="0.25">
      <c r="A38" s="8" t="s">
        <v>207</v>
      </c>
      <c r="B38" s="8" t="s">
        <v>61</v>
      </c>
      <c r="C38" s="8">
        <v>3</v>
      </c>
      <c r="D38" s="8" t="s">
        <v>391</v>
      </c>
      <c r="E38" s="8" t="s">
        <v>21</v>
      </c>
      <c r="F38" s="8" t="s">
        <v>215</v>
      </c>
      <c r="G38" s="9">
        <v>0.6</v>
      </c>
      <c r="H38" s="9">
        <v>0</v>
      </c>
      <c r="I38" s="10">
        <v>35.700000000000003</v>
      </c>
      <c r="J38" s="10">
        <v>12.9</v>
      </c>
      <c r="K38" s="10">
        <v>11.4</v>
      </c>
      <c r="L38" s="10">
        <v>4.33</v>
      </c>
      <c r="M38" s="8" t="s">
        <v>419</v>
      </c>
    </row>
    <row r="39" spans="1:13" x14ac:dyDescent="0.25">
      <c r="A39" s="8" t="s">
        <v>208</v>
      </c>
      <c r="B39" s="8" t="s">
        <v>61</v>
      </c>
      <c r="C39" s="8">
        <v>3</v>
      </c>
      <c r="D39" s="8" t="s">
        <v>391</v>
      </c>
      <c r="E39" s="8" t="s">
        <v>15</v>
      </c>
      <c r="F39" s="8" t="s">
        <v>215</v>
      </c>
      <c r="G39" s="9">
        <v>0</v>
      </c>
      <c r="H39" s="9">
        <v>0</v>
      </c>
      <c r="I39" s="10">
        <v>32.6</v>
      </c>
      <c r="J39" s="10">
        <v>10.7</v>
      </c>
      <c r="K39" s="10">
        <v>4.9000000000000004</v>
      </c>
      <c r="L39" s="10">
        <v>1.65</v>
      </c>
      <c r="M39" s="8" t="s">
        <v>417</v>
      </c>
    </row>
    <row r="40" spans="1:13" x14ac:dyDescent="0.25">
      <c r="A40" s="8" t="s">
        <v>209</v>
      </c>
      <c r="B40" s="8" t="s">
        <v>61</v>
      </c>
      <c r="C40" s="8">
        <v>3</v>
      </c>
      <c r="D40" s="8" t="s">
        <v>392</v>
      </c>
      <c r="E40" s="8" t="s">
        <v>403</v>
      </c>
      <c r="F40" s="8" t="s">
        <v>215</v>
      </c>
      <c r="G40" s="9">
        <v>0.1</v>
      </c>
      <c r="H40" s="9">
        <v>0</v>
      </c>
      <c r="I40" s="10">
        <v>17.899999999999999</v>
      </c>
      <c r="J40" s="10">
        <v>19.3</v>
      </c>
      <c r="K40" s="10">
        <v>4.5</v>
      </c>
      <c r="L40" s="10">
        <v>1.1299999999999999</v>
      </c>
      <c r="M40" s="8" t="s">
        <v>424</v>
      </c>
    </row>
    <row r="41" spans="1:13" x14ac:dyDescent="0.25">
      <c r="A41" s="8" t="s">
        <v>210</v>
      </c>
      <c r="B41" s="8" t="s">
        <v>61</v>
      </c>
      <c r="C41" s="8">
        <v>3</v>
      </c>
      <c r="D41" s="8" t="s">
        <v>392</v>
      </c>
      <c r="E41" s="8" t="s">
        <v>21</v>
      </c>
      <c r="F41" s="8" t="s">
        <v>215</v>
      </c>
      <c r="G41" s="9">
        <v>1</v>
      </c>
      <c r="H41" s="9">
        <v>0</v>
      </c>
      <c r="I41" s="10">
        <v>17.899999999999999</v>
      </c>
      <c r="J41" s="10">
        <v>11</v>
      </c>
      <c r="K41" s="10">
        <v>5.9</v>
      </c>
      <c r="L41" s="10">
        <v>0.79</v>
      </c>
      <c r="M41" s="8" t="s">
        <v>419</v>
      </c>
    </row>
    <row r="42" spans="1:13" x14ac:dyDescent="0.25">
      <c r="A42" s="8" t="s">
        <v>211</v>
      </c>
      <c r="B42" s="8" t="s">
        <v>61</v>
      </c>
      <c r="C42" s="8">
        <v>3</v>
      </c>
      <c r="D42" s="8" t="s">
        <v>391</v>
      </c>
      <c r="E42" s="8" t="s">
        <v>15</v>
      </c>
      <c r="F42" s="8" t="s">
        <v>215</v>
      </c>
      <c r="G42" s="9">
        <v>0</v>
      </c>
      <c r="H42" s="9">
        <v>0</v>
      </c>
      <c r="I42" s="10">
        <v>37.200000000000003</v>
      </c>
      <c r="J42" s="10">
        <v>19.3</v>
      </c>
      <c r="K42" s="10">
        <v>6.2</v>
      </c>
      <c r="L42" s="10">
        <v>4.2300000000000004</v>
      </c>
      <c r="M42" s="8" t="s">
        <v>425</v>
      </c>
    </row>
    <row r="43" spans="1:13" x14ac:dyDescent="0.25">
      <c r="A43" s="8" t="s">
        <v>212</v>
      </c>
      <c r="B43" s="8" t="s">
        <v>61</v>
      </c>
      <c r="C43" s="8">
        <v>3</v>
      </c>
      <c r="D43" s="8" t="s">
        <v>391</v>
      </c>
      <c r="E43" s="8" t="s">
        <v>15</v>
      </c>
      <c r="F43" s="8" t="s">
        <v>215</v>
      </c>
      <c r="G43" s="9">
        <v>0.2</v>
      </c>
      <c r="H43" s="9">
        <v>0</v>
      </c>
      <c r="I43" s="10">
        <v>24.3</v>
      </c>
      <c r="J43" s="10">
        <v>22.8</v>
      </c>
      <c r="K43" s="10">
        <v>6.3</v>
      </c>
      <c r="L43" s="10">
        <v>3.64</v>
      </c>
      <c r="M43" s="8" t="s">
        <v>419</v>
      </c>
    </row>
    <row r="44" spans="1:13" x14ac:dyDescent="0.25">
      <c r="A44" s="8" t="s">
        <v>213</v>
      </c>
      <c r="B44" s="8" t="s">
        <v>61</v>
      </c>
      <c r="C44" s="8">
        <v>3</v>
      </c>
      <c r="D44" s="8" t="s">
        <v>391</v>
      </c>
      <c r="E44" s="8" t="s">
        <v>21</v>
      </c>
      <c r="F44" s="8" t="s">
        <v>215</v>
      </c>
      <c r="G44" s="9">
        <v>0.3</v>
      </c>
      <c r="H44" s="9">
        <v>0</v>
      </c>
      <c r="I44" s="10">
        <v>22.5</v>
      </c>
      <c r="J44" s="10">
        <v>22.7</v>
      </c>
      <c r="K44" s="10">
        <v>5.3</v>
      </c>
      <c r="L44" s="10">
        <v>2.34</v>
      </c>
      <c r="M44" s="8" t="s">
        <v>422</v>
      </c>
    </row>
    <row r="45" spans="1:13" x14ac:dyDescent="0.25">
      <c r="A45" s="8" t="s">
        <v>214</v>
      </c>
      <c r="B45" s="8" t="s">
        <v>61</v>
      </c>
      <c r="C45" s="8">
        <v>3</v>
      </c>
      <c r="D45" s="8" t="s">
        <v>391</v>
      </c>
      <c r="E45" s="8" t="s">
        <v>15</v>
      </c>
      <c r="F45" s="8" t="s">
        <v>215</v>
      </c>
      <c r="G45" s="9">
        <v>0.2</v>
      </c>
      <c r="H45" s="9">
        <v>0</v>
      </c>
      <c r="I45" s="10">
        <v>24.4</v>
      </c>
      <c r="J45" s="10">
        <v>28.9</v>
      </c>
      <c r="K45" s="10">
        <v>10.8</v>
      </c>
      <c r="L45" s="10">
        <v>4.25</v>
      </c>
      <c r="M45" s="8" t="s">
        <v>417</v>
      </c>
    </row>
    <row r="46" spans="1:13" x14ac:dyDescent="0.25">
      <c r="G46" s="9"/>
      <c r="H46" s="9"/>
    </row>
    <row r="47" spans="1:13" x14ac:dyDescent="0.25">
      <c r="G47" s="9"/>
      <c r="H47" s="9"/>
    </row>
    <row r="48" spans="1:13" x14ac:dyDescent="0.25">
      <c r="G48" s="9"/>
      <c r="H48" s="9"/>
    </row>
    <row r="49" spans="7:8" x14ac:dyDescent="0.25">
      <c r="G49" s="9"/>
      <c r="H49" s="9"/>
    </row>
    <row r="50" spans="7:8" x14ac:dyDescent="0.25">
      <c r="G50" s="9"/>
      <c r="H50" s="9"/>
    </row>
    <row r="51" spans="7:8" x14ac:dyDescent="0.25">
      <c r="G51" s="9"/>
      <c r="H51" s="9"/>
    </row>
    <row r="52" spans="7:8" x14ac:dyDescent="0.25">
      <c r="G52" s="9"/>
      <c r="H52" s="9"/>
    </row>
    <row r="53" spans="7:8" x14ac:dyDescent="0.25">
      <c r="G53" s="9"/>
      <c r="H53" s="9"/>
    </row>
    <row r="54" spans="7:8" x14ac:dyDescent="0.25">
      <c r="G54" s="9"/>
      <c r="H54" s="9"/>
    </row>
    <row r="55" spans="7:8" x14ac:dyDescent="0.25">
      <c r="G55" s="9"/>
      <c r="H55" s="9"/>
    </row>
    <row r="56" spans="7:8" x14ac:dyDescent="0.25">
      <c r="G56" s="9"/>
      <c r="H56" s="9"/>
    </row>
    <row r="57" spans="7:8" x14ac:dyDescent="0.25">
      <c r="G57" s="9"/>
      <c r="H57" s="9"/>
    </row>
    <row r="58" spans="7:8" x14ac:dyDescent="0.25">
      <c r="G58" s="9"/>
      <c r="H58" s="9"/>
    </row>
    <row r="59" spans="7:8" x14ac:dyDescent="0.25">
      <c r="G59" s="9"/>
      <c r="H59" s="9"/>
    </row>
    <row r="60" spans="7:8" x14ac:dyDescent="0.25">
      <c r="G60" s="9"/>
      <c r="H60" s="9"/>
    </row>
    <row r="61" spans="7:8" x14ac:dyDescent="0.25">
      <c r="G61" s="9"/>
      <c r="H61" s="9"/>
    </row>
    <row r="62" spans="7:8" x14ac:dyDescent="0.25">
      <c r="G62" s="9"/>
      <c r="H62" s="9"/>
    </row>
    <row r="63" spans="7:8" x14ac:dyDescent="0.25">
      <c r="G63" s="9"/>
      <c r="H63" s="9"/>
    </row>
    <row r="64" spans="7:8" x14ac:dyDescent="0.25">
      <c r="G64" s="9"/>
      <c r="H64" s="9"/>
    </row>
    <row r="65" spans="7:8" x14ac:dyDescent="0.25">
      <c r="G65" s="9"/>
      <c r="H65" s="9"/>
    </row>
    <row r="66" spans="7:8" x14ac:dyDescent="0.25">
      <c r="G66" s="9"/>
      <c r="H66" s="9"/>
    </row>
    <row r="67" spans="7:8" x14ac:dyDescent="0.25">
      <c r="G67" s="9"/>
      <c r="H67" s="9"/>
    </row>
    <row r="68" spans="7:8" x14ac:dyDescent="0.25">
      <c r="G68" s="9"/>
      <c r="H68" s="9"/>
    </row>
    <row r="69" spans="7:8" x14ac:dyDescent="0.25">
      <c r="G69" s="9"/>
      <c r="H69" s="9"/>
    </row>
    <row r="70" spans="7:8" x14ac:dyDescent="0.25">
      <c r="G70" s="9"/>
      <c r="H70" s="9"/>
    </row>
    <row r="71" spans="7:8" x14ac:dyDescent="0.25">
      <c r="G71" s="9"/>
      <c r="H71" s="9"/>
    </row>
    <row r="72" spans="7:8" x14ac:dyDescent="0.25">
      <c r="G72" s="9"/>
      <c r="H72" s="9"/>
    </row>
    <row r="73" spans="7:8" x14ac:dyDescent="0.25">
      <c r="G73" s="9"/>
      <c r="H73" s="9"/>
    </row>
    <row r="74" spans="7:8" x14ac:dyDescent="0.25">
      <c r="G74" s="9"/>
      <c r="H74" s="9"/>
    </row>
    <row r="75" spans="7:8" x14ac:dyDescent="0.25">
      <c r="G75" s="9"/>
      <c r="H75" s="9"/>
    </row>
    <row r="76" spans="7:8" x14ac:dyDescent="0.25">
      <c r="G76" s="9"/>
      <c r="H76" s="9"/>
    </row>
    <row r="77" spans="7:8" x14ac:dyDescent="0.25">
      <c r="G77" s="9"/>
      <c r="H77" s="9"/>
    </row>
    <row r="78" spans="7:8" x14ac:dyDescent="0.25">
      <c r="G78" s="9"/>
      <c r="H78" s="9"/>
    </row>
    <row r="79" spans="7:8" x14ac:dyDescent="0.25">
      <c r="G79" s="9"/>
      <c r="H79" s="9"/>
    </row>
    <row r="80" spans="7:8" x14ac:dyDescent="0.25">
      <c r="G80" s="9"/>
      <c r="H80" s="9"/>
    </row>
    <row r="81" spans="7:8" x14ac:dyDescent="0.25">
      <c r="G81" s="9"/>
      <c r="H81" s="9"/>
    </row>
    <row r="82" spans="7:8" x14ac:dyDescent="0.25">
      <c r="G82" s="9"/>
      <c r="H82" s="9"/>
    </row>
    <row r="83" spans="7:8" x14ac:dyDescent="0.25">
      <c r="G83" s="9"/>
      <c r="H83" s="9"/>
    </row>
    <row r="84" spans="7:8" x14ac:dyDescent="0.25">
      <c r="G84" s="9"/>
      <c r="H84" s="9"/>
    </row>
    <row r="85" spans="7:8" x14ac:dyDescent="0.25">
      <c r="G85" s="9"/>
      <c r="H85" s="9"/>
    </row>
    <row r="86" spans="7:8" x14ac:dyDescent="0.25">
      <c r="G86" s="9"/>
      <c r="H86" s="9"/>
    </row>
    <row r="87" spans="7:8" x14ac:dyDescent="0.25">
      <c r="G87" s="9"/>
      <c r="H87" s="9"/>
    </row>
    <row r="88" spans="7:8" x14ac:dyDescent="0.25">
      <c r="G88" s="9"/>
      <c r="H88" s="9"/>
    </row>
    <row r="89" spans="7:8" x14ac:dyDescent="0.25">
      <c r="G89" s="9"/>
      <c r="H89" s="9"/>
    </row>
    <row r="90" spans="7:8" x14ac:dyDescent="0.25">
      <c r="G90" s="9"/>
      <c r="H90" s="9"/>
    </row>
    <row r="91" spans="7:8" x14ac:dyDescent="0.25">
      <c r="G91" s="9"/>
      <c r="H91" s="9"/>
    </row>
    <row r="92" spans="7:8" x14ac:dyDescent="0.25">
      <c r="G92" s="9"/>
      <c r="H92" s="9"/>
    </row>
    <row r="93" spans="7:8" x14ac:dyDescent="0.25">
      <c r="H93" s="9"/>
    </row>
    <row r="94" spans="7:8" x14ac:dyDescent="0.25">
      <c r="G94" s="9"/>
      <c r="H94" s="9"/>
    </row>
    <row r="95" spans="7:8" x14ac:dyDescent="0.25">
      <c r="G95" s="9"/>
      <c r="H95" s="9"/>
    </row>
    <row r="96" spans="7:8" x14ac:dyDescent="0.25">
      <c r="G96" s="9"/>
      <c r="H96" s="9"/>
    </row>
    <row r="97" spans="7:8" x14ac:dyDescent="0.25">
      <c r="G97" s="9"/>
      <c r="H97" s="9"/>
    </row>
    <row r="98" spans="7:8" x14ac:dyDescent="0.25">
      <c r="G98" s="9"/>
      <c r="H98" s="9"/>
    </row>
    <row r="99" spans="7:8" x14ac:dyDescent="0.25">
      <c r="G99" s="9"/>
      <c r="H99" s="9"/>
    </row>
    <row r="100" spans="7:8" x14ac:dyDescent="0.25">
      <c r="G100" s="9"/>
      <c r="H100" s="9"/>
    </row>
    <row r="101" spans="7:8" x14ac:dyDescent="0.25">
      <c r="G101" s="9"/>
      <c r="H101" s="9"/>
    </row>
    <row r="102" spans="7:8" x14ac:dyDescent="0.25">
      <c r="G102" s="9"/>
      <c r="H102" s="9"/>
    </row>
    <row r="103" spans="7:8" x14ac:dyDescent="0.25">
      <c r="G103" s="9"/>
      <c r="H103" s="9"/>
    </row>
    <row r="104" spans="7:8" x14ac:dyDescent="0.25">
      <c r="G104" s="9"/>
      <c r="H104" s="9"/>
    </row>
    <row r="105" spans="7:8" x14ac:dyDescent="0.25">
      <c r="G105" s="9"/>
      <c r="H105" s="9"/>
    </row>
    <row r="106" spans="7:8" x14ac:dyDescent="0.25">
      <c r="G106" s="9"/>
      <c r="H106" s="9"/>
    </row>
    <row r="107" spans="7:8" x14ac:dyDescent="0.25">
      <c r="G107" s="9"/>
      <c r="H107" s="9"/>
    </row>
    <row r="108" spans="7:8" x14ac:dyDescent="0.25">
      <c r="G108" s="9"/>
      <c r="H108" s="9"/>
    </row>
    <row r="109" spans="7:8" x14ac:dyDescent="0.25">
      <c r="G109" s="9"/>
      <c r="H109" s="9"/>
    </row>
    <row r="110" spans="7:8" x14ac:dyDescent="0.25">
      <c r="G110" s="9"/>
      <c r="H110" s="9"/>
    </row>
    <row r="111" spans="7:8" x14ac:dyDescent="0.25">
      <c r="G111" s="9"/>
      <c r="H111" s="9"/>
    </row>
    <row r="112" spans="7:8" x14ac:dyDescent="0.25">
      <c r="G112" s="9"/>
      <c r="H112" s="9"/>
    </row>
    <row r="113" spans="7:8" x14ac:dyDescent="0.25">
      <c r="G113" s="9"/>
      <c r="H113" s="9"/>
    </row>
    <row r="114" spans="7:8" x14ac:dyDescent="0.25">
      <c r="G114" s="9"/>
      <c r="H114" s="9"/>
    </row>
    <row r="115" spans="7:8" x14ac:dyDescent="0.25">
      <c r="G115" s="9"/>
      <c r="H115" s="9"/>
    </row>
    <row r="116" spans="7:8" x14ac:dyDescent="0.25">
      <c r="G116" s="9"/>
      <c r="H116" s="9"/>
    </row>
    <row r="117" spans="7:8" x14ac:dyDescent="0.25">
      <c r="G117" s="9"/>
      <c r="H117" s="9"/>
    </row>
    <row r="118" spans="7:8" x14ac:dyDescent="0.25">
      <c r="G118" s="9"/>
      <c r="H118" s="9"/>
    </row>
    <row r="119" spans="7:8" x14ac:dyDescent="0.25">
      <c r="G119" s="9"/>
      <c r="H119" s="9"/>
    </row>
    <row r="120" spans="7:8" x14ac:dyDescent="0.25">
      <c r="G120" s="9"/>
      <c r="H120" s="9"/>
    </row>
    <row r="121" spans="7:8" x14ac:dyDescent="0.25">
      <c r="G121" s="9"/>
      <c r="H121" s="9"/>
    </row>
    <row r="122" spans="7:8" x14ac:dyDescent="0.25">
      <c r="G122" s="9"/>
      <c r="H122" s="9"/>
    </row>
    <row r="123" spans="7:8" x14ac:dyDescent="0.25">
      <c r="G123" s="9"/>
      <c r="H123" s="9"/>
    </row>
    <row r="124" spans="7:8" x14ac:dyDescent="0.25">
      <c r="G124" s="9"/>
      <c r="H124" s="9"/>
    </row>
    <row r="125" spans="7:8" x14ac:dyDescent="0.25">
      <c r="G125" s="9"/>
      <c r="H125" s="9"/>
    </row>
    <row r="126" spans="7:8" x14ac:dyDescent="0.25">
      <c r="G126" s="9"/>
      <c r="H126" s="9"/>
    </row>
    <row r="127" spans="7:8" x14ac:dyDescent="0.25">
      <c r="G127" s="9"/>
      <c r="H127" s="9"/>
    </row>
    <row r="128" spans="7:8" x14ac:dyDescent="0.25">
      <c r="G128" s="9"/>
      <c r="H128" s="9"/>
    </row>
    <row r="129" spans="7:8" x14ac:dyDescent="0.25">
      <c r="G129" s="9"/>
      <c r="H129" s="9"/>
    </row>
    <row r="130" spans="7:8" x14ac:dyDescent="0.25">
      <c r="G130" s="9"/>
      <c r="H130" s="9"/>
    </row>
    <row r="131" spans="7:8" x14ac:dyDescent="0.25">
      <c r="G131" s="9"/>
      <c r="H131" s="9"/>
    </row>
    <row r="132" spans="7:8" x14ac:dyDescent="0.25">
      <c r="G132" s="9"/>
      <c r="H132" s="9"/>
    </row>
    <row r="133" spans="7:8" x14ac:dyDescent="0.25">
      <c r="G133" s="9"/>
      <c r="H133" s="9"/>
    </row>
    <row r="134" spans="7:8" x14ac:dyDescent="0.25">
      <c r="G134" s="9"/>
      <c r="H134" s="9"/>
    </row>
    <row r="135" spans="7:8" x14ac:dyDescent="0.25">
      <c r="G135" s="9"/>
      <c r="H135" s="9"/>
    </row>
    <row r="136" spans="7:8" x14ac:dyDescent="0.25">
      <c r="G136" s="9"/>
      <c r="H136" s="9"/>
    </row>
    <row r="137" spans="7:8" x14ac:dyDescent="0.25">
      <c r="G137" s="9"/>
      <c r="H137" s="9"/>
    </row>
    <row r="138" spans="7:8" x14ac:dyDescent="0.25">
      <c r="G138" s="9"/>
      <c r="H138" s="9"/>
    </row>
    <row r="139" spans="7:8" x14ac:dyDescent="0.25">
      <c r="G139" s="9"/>
      <c r="H139" s="9"/>
    </row>
    <row r="140" spans="7:8" x14ac:dyDescent="0.25">
      <c r="G140" s="9"/>
      <c r="H140" s="9"/>
    </row>
    <row r="141" spans="7:8" x14ac:dyDescent="0.25">
      <c r="G141" s="9"/>
      <c r="H141" s="9"/>
    </row>
    <row r="142" spans="7:8" x14ac:dyDescent="0.25">
      <c r="G142" s="9"/>
      <c r="H142" s="9"/>
    </row>
    <row r="143" spans="7:8" x14ac:dyDescent="0.25">
      <c r="G143" s="9"/>
      <c r="H143" s="9"/>
    </row>
    <row r="144" spans="7:8" x14ac:dyDescent="0.25">
      <c r="G144" s="9"/>
      <c r="H144" s="9"/>
    </row>
    <row r="145" spans="7:8" x14ac:dyDescent="0.25">
      <c r="G145" s="9"/>
      <c r="H145" s="9"/>
    </row>
    <row r="146" spans="7:8" x14ac:dyDescent="0.25">
      <c r="G146" s="9"/>
      <c r="H146" s="9"/>
    </row>
    <row r="147" spans="7:8" x14ac:dyDescent="0.25">
      <c r="G147" s="9"/>
      <c r="H147" s="9"/>
    </row>
    <row r="148" spans="7:8" x14ac:dyDescent="0.25">
      <c r="G148" s="9"/>
      <c r="H148" s="9"/>
    </row>
    <row r="149" spans="7:8" x14ac:dyDescent="0.25">
      <c r="G149" s="9"/>
      <c r="H149" s="9"/>
    </row>
    <row r="150" spans="7:8" x14ac:dyDescent="0.25">
      <c r="G150" s="9"/>
      <c r="H150" s="9"/>
    </row>
    <row r="151" spans="7:8" x14ac:dyDescent="0.25">
      <c r="G151" s="9"/>
      <c r="H151" s="9"/>
    </row>
    <row r="152" spans="7:8" x14ac:dyDescent="0.25">
      <c r="G152" s="9"/>
      <c r="H152" s="9"/>
    </row>
    <row r="153" spans="7:8" x14ac:dyDescent="0.25">
      <c r="G153" s="9"/>
      <c r="H153" s="9"/>
    </row>
    <row r="154" spans="7:8" x14ac:dyDescent="0.25">
      <c r="G154" s="9"/>
      <c r="H154" s="9"/>
    </row>
    <row r="155" spans="7:8" x14ac:dyDescent="0.25">
      <c r="G155" s="9"/>
      <c r="H155" s="9"/>
    </row>
    <row r="156" spans="7:8" x14ac:dyDescent="0.25">
      <c r="G156" s="9"/>
      <c r="H156" s="9"/>
    </row>
    <row r="157" spans="7:8" x14ac:dyDescent="0.25">
      <c r="G157" s="9"/>
      <c r="H157" s="9"/>
    </row>
    <row r="158" spans="7:8" x14ac:dyDescent="0.25">
      <c r="G158" s="9"/>
      <c r="H158" s="9"/>
    </row>
    <row r="159" spans="7:8" x14ac:dyDescent="0.25">
      <c r="G159" s="9"/>
      <c r="H159" s="9"/>
    </row>
    <row r="160" spans="7:8" x14ac:dyDescent="0.25">
      <c r="G160" s="9"/>
      <c r="H160" s="9"/>
    </row>
    <row r="161" spans="7:8" x14ac:dyDescent="0.25">
      <c r="G161" s="9"/>
      <c r="H161" s="9"/>
    </row>
    <row r="162" spans="7:8" x14ac:dyDescent="0.25">
      <c r="G162" s="9"/>
      <c r="H162" s="9"/>
    </row>
    <row r="163" spans="7:8" x14ac:dyDescent="0.25">
      <c r="G163" s="9"/>
      <c r="H163" s="9"/>
    </row>
    <row r="164" spans="7:8" x14ac:dyDescent="0.25">
      <c r="G164" s="9"/>
      <c r="H164" s="9"/>
    </row>
    <row r="165" spans="7:8" x14ac:dyDescent="0.25">
      <c r="G165" s="9"/>
      <c r="H165" s="9"/>
    </row>
    <row r="166" spans="7:8" x14ac:dyDescent="0.25">
      <c r="G166" s="9"/>
      <c r="H166" s="9"/>
    </row>
    <row r="167" spans="7:8" x14ac:dyDescent="0.25">
      <c r="G167" s="9"/>
      <c r="H167" s="9"/>
    </row>
    <row r="168" spans="7:8" x14ac:dyDescent="0.25">
      <c r="G168" s="9"/>
      <c r="H168" s="9"/>
    </row>
    <row r="169" spans="7:8" x14ac:dyDescent="0.25">
      <c r="G169" s="9"/>
      <c r="H169" s="9"/>
    </row>
    <row r="170" spans="7:8" x14ac:dyDescent="0.25">
      <c r="G170" s="9"/>
      <c r="H170" s="9"/>
    </row>
    <row r="171" spans="7:8" x14ac:dyDescent="0.25">
      <c r="G171" s="9"/>
      <c r="H171" s="9"/>
    </row>
    <row r="172" spans="7:8" x14ac:dyDescent="0.25">
      <c r="G172" s="9"/>
      <c r="H172" s="9"/>
    </row>
    <row r="173" spans="7:8" x14ac:dyDescent="0.25">
      <c r="H173" s="9"/>
    </row>
    <row r="174" spans="7:8" x14ac:dyDescent="0.25">
      <c r="G174" s="9"/>
      <c r="H174" s="9"/>
    </row>
  </sheetData>
  <autoFilter ref="B1:M1" xr:uid="{6778DA9D-13A5-4FA1-94E2-20454E30CA8E}"/>
  <phoneticPr fontId="1" type="noConversion"/>
  <dataValidations count="2">
    <dataValidation type="list" allowBlank="1" showInputMessage="1" showErrorMessage="1" sqref="M46:M1048576" xr:uid="{9D46FFF7-756B-44BD-87D2-E5C6083C8DE3}">
      <formula1>"longitudinal,transverse,mixed"</formula1>
    </dataValidation>
    <dataValidation type="list" allowBlank="1" showInputMessage="1" showErrorMessage="1" sqref="G46:H1048576" xr:uid="{F70D7743-6E65-4894-BAB2-135D37B0D2E4}">
      <formula1>"0%,1-20%,20-40%,40-60%,60-80%,80-99%,100%"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3EC9E-AF5B-4CE6-8F38-0D38DE9AA559}">
  <dimension ref="A1:W22"/>
  <sheetViews>
    <sheetView zoomScale="115" zoomScaleNormal="115" workbookViewId="0">
      <selection activeCell="G5" sqref="G5"/>
    </sheetView>
  </sheetViews>
  <sheetFormatPr defaultColWidth="8.6640625" defaultRowHeight="15.6" x14ac:dyDescent="0.25"/>
  <cols>
    <col min="1" max="1" width="14.109375" style="8" customWidth="1"/>
    <col min="2" max="2" width="8.21875" style="8" customWidth="1"/>
    <col min="3" max="3" width="7" style="8" customWidth="1"/>
    <col min="4" max="4" width="9.88671875" style="8" customWidth="1"/>
    <col min="5" max="5" width="11.88671875" style="8" customWidth="1"/>
    <col min="6" max="6" width="7.109375" style="8" customWidth="1"/>
    <col min="7" max="7" width="17" style="8" customWidth="1"/>
    <col min="8" max="8" width="7.88671875" style="8" customWidth="1"/>
    <col min="9" max="9" width="7.109375" style="8" customWidth="1"/>
    <col min="10" max="13" width="9.44140625" style="10" customWidth="1"/>
    <col min="14" max="14" width="10.77734375" style="8" customWidth="1"/>
    <col min="15" max="15" width="9" style="8" customWidth="1"/>
    <col min="16" max="16" width="9.77734375" style="20" customWidth="1"/>
    <col min="17" max="18" width="8.6640625" style="8"/>
    <col min="19" max="22" width="8.6640625" style="20"/>
    <col min="23" max="23" width="15.44140625" style="8" customWidth="1"/>
    <col min="24" max="16384" width="8.6640625" style="8"/>
  </cols>
  <sheetData>
    <row r="1" spans="1:23" x14ac:dyDescent="0.25">
      <c r="A1" s="1" t="s">
        <v>44</v>
      </c>
      <c r="B1" s="2" t="s">
        <v>59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34</v>
      </c>
      <c r="H1" s="2" t="s">
        <v>5</v>
      </c>
      <c r="I1" s="2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2" t="s">
        <v>35</v>
      </c>
      <c r="O1" s="2" t="s">
        <v>36</v>
      </c>
      <c r="P1" s="19" t="s">
        <v>37</v>
      </c>
      <c r="Q1" s="2" t="s">
        <v>38</v>
      </c>
      <c r="R1" s="2" t="s">
        <v>39</v>
      </c>
      <c r="S1" s="19" t="s">
        <v>219</v>
      </c>
      <c r="T1" s="19" t="s">
        <v>40</v>
      </c>
      <c r="U1" s="19" t="s">
        <v>41</v>
      </c>
      <c r="V1" s="19" t="s">
        <v>42</v>
      </c>
      <c r="W1" s="2" t="s">
        <v>43</v>
      </c>
    </row>
    <row r="2" spans="1:23" x14ac:dyDescent="0.25">
      <c r="A2" s="8" t="s">
        <v>347</v>
      </c>
      <c r="B2" s="8" t="s">
        <v>60</v>
      </c>
      <c r="C2" s="8">
        <v>3</v>
      </c>
      <c r="D2" s="8" t="s">
        <v>386</v>
      </c>
      <c r="E2" s="8" t="s">
        <v>15</v>
      </c>
      <c r="F2" s="8" t="s">
        <v>220</v>
      </c>
      <c r="G2" s="8" t="s">
        <v>221</v>
      </c>
      <c r="H2" s="9">
        <v>0.3</v>
      </c>
      <c r="I2" s="9">
        <v>0.05</v>
      </c>
      <c r="J2" s="10">
        <v>41.4</v>
      </c>
      <c r="K2" s="10">
        <v>45</v>
      </c>
      <c r="L2" s="10">
        <v>12.4</v>
      </c>
      <c r="M2" s="10">
        <v>33.770000000000003</v>
      </c>
      <c r="N2" s="8" t="s">
        <v>405</v>
      </c>
      <c r="O2" s="8" t="s">
        <v>407</v>
      </c>
      <c r="P2" s="20">
        <v>68</v>
      </c>
      <c r="Q2" s="8">
        <v>1</v>
      </c>
      <c r="R2" s="8">
        <v>5</v>
      </c>
      <c r="S2" s="20">
        <v>0.47</v>
      </c>
      <c r="T2" s="20">
        <v>1</v>
      </c>
      <c r="U2" s="20">
        <v>39</v>
      </c>
      <c r="V2" s="20">
        <f>T2/U2</f>
        <v>2.564102564102564E-2</v>
      </c>
      <c r="W2" s="8" t="s">
        <v>410</v>
      </c>
    </row>
    <row r="3" spans="1:23" x14ac:dyDescent="0.25">
      <c r="A3" s="8" t="s">
        <v>340</v>
      </c>
      <c r="B3" s="8" t="s">
        <v>60</v>
      </c>
      <c r="C3" s="8">
        <v>3</v>
      </c>
      <c r="D3" s="8" t="s">
        <v>387</v>
      </c>
      <c r="E3" s="8" t="s">
        <v>15</v>
      </c>
      <c r="F3" s="8" t="s">
        <v>220</v>
      </c>
      <c r="G3" s="8" t="s">
        <v>221</v>
      </c>
      <c r="H3" s="9">
        <v>0.4</v>
      </c>
      <c r="I3" s="9">
        <v>0</v>
      </c>
      <c r="J3" s="10">
        <v>87.6</v>
      </c>
      <c r="K3" s="10">
        <v>85.8</v>
      </c>
      <c r="L3" s="10">
        <v>24.7</v>
      </c>
      <c r="M3" s="10">
        <v>155.72</v>
      </c>
      <c r="N3" s="8" t="s">
        <v>406</v>
      </c>
      <c r="O3" s="8" t="s">
        <v>407</v>
      </c>
      <c r="P3" s="20">
        <v>80</v>
      </c>
      <c r="Q3" s="8">
        <v>1</v>
      </c>
      <c r="R3" s="8">
        <v>2</v>
      </c>
      <c r="S3" s="20">
        <v>0.25</v>
      </c>
      <c r="T3" s="20">
        <v>5</v>
      </c>
      <c r="U3" s="20">
        <v>36</v>
      </c>
      <c r="V3" s="20">
        <f t="shared" ref="V3:V7" si="0">T3/U3</f>
        <v>0.1388888888888889</v>
      </c>
      <c r="W3" s="8" t="s">
        <v>411</v>
      </c>
    </row>
    <row r="4" spans="1:23" x14ac:dyDescent="0.25">
      <c r="A4" s="8" t="s">
        <v>56</v>
      </c>
      <c r="B4" s="8" t="s">
        <v>60</v>
      </c>
      <c r="C4" s="8">
        <v>2</v>
      </c>
      <c r="D4" s="8" t="s">
        <v>401</v>
      </c>
      <c r="E4" s="8" t="s">
        <v>15</v>
      </c>
      <c r="F4" s="8" t="s">
        <v>220</v>
      </c>
      <c r="G4" s="8" t="s">
        <v>221</v>
      </c>
      <c r="H4" s="9">
        <v>0</v>
      </c>
      <c r="I4" s="9">
        <v>0</v>
      </c>
      <c r="J4" s="10">
        <v>17.5</v>
      </c>
      <c r="K4" s="10">
        <v>13.8</v>
      </c>
      <c r="L4" s="10">
        <v>7.1</v>
      </c>
      <c r="M4" s="10">
        <v>1.96</v>
      </c>
      <c r="N4" s="8" t="s">
        <v>405</v>
      </c>
      <c r="O4" s="8" t="s">
        <v>409</v>
      </c>
      <c r="P4" s="20">
        <v>62</v>
      </c>
      <c r="Q4" s="8">
        <v>2</v>
      </c>
      <c r="R4" s="8">
        <v>9</v>
      </c>
      <c r="S4" s="20">
        <v>0.86</v>
      </c>
      <c r="T4" s="20">
        <v>4</v>
      </c>
      <c r="U4" s="20">
        <v>16</v>
      </c>
      <c r="V4" s="20">
        <f t="shared" si="0"/>
        <v>0.25</v>
      </c>
      <c r="W4" s="8" t="s">
        <v>410</v>
      </c>
    </row>
    <row r="5" spans="1:23" x14ac:dyDescent="0.25">
      <c r="A5" s="8" t="s">
        <v>181</v>
      </c>
      <c r="B5" s="8" t="s">
        <v>61</v>
      </c>
      <c r="C5" s="8">
        <v>2</v>
      </c>
      <c r="D5" s="8" t="s">
        <v>401</v>
      </c>
      <c r="E5" s="8" t="s">
        <v>15</v>
      </c>
      <c r="F5" s="8" t="s">
        <v>220</v>
      </c>
      <c r="G5" s="8" t="s">
        <v>221</v>
      </c>
      <c r="H5" s="9">
        <v>0.05</v>
      </c>
      <c r="I5" s="9">
        <v>0</v>
      </c>
      <c r="J5" s="10">
        <v>39</v>
      </c>
      <c r="K5" s="10">
        <v>47.9</v>
      </c>
      <c r="L5" s="10">
        <v>11.5</v>
      </c>
      <c r="M5" s="10">
        <v>17.59</v>
      </c>
      <c r="N5" s="8" t="s">
        <v>406</v>
      </c>
      <c r="O5" s="8" t="s">
        <v>407</v>
      </c>
      <c r="P5" s="20">
        <v>65</v>
      </c>
      <c r="Q5" s="8">
        <v>1</v>
      </c>
      <c r="R5" s="8">
        <v>4</v>
      </c>
      <c r="S5" s="20">
        <v>0.75</v>
      </c>
      <c r="T5" s="20">
        <v>6</v>
      </c>
      <c r="U5" s="20">
        <v>32</v>
      </c>
      <c r="V5" s="20">
        <f t="shared" si="0"/>
        <v>0.1875</v>
      </c>
      <c r="W5" s="8" t="s">
        <v>410</v>
      </c>
    </row>
    <row r="6" spans="1:23" x14ac:dyDescent="0.25">
      <c r="A6" s="8" t="s">
        <v>216</v>
      </c>
      <c r="B6" s="8" t="s">
        <v>61</v>
      </c>
      <c r="C6" s="8">
        <v>3</v>
      </c>
      <c r="D6" s="8" t="s">
        <v>401</v>
      </c>
      <c r="E6" s="8" t="s">
        <v>15</v>
      </c>
      <c r="F6" s="8" t="s">
        <v>220</v>
      </c>
      <c r="G6" s="8" t="s">
        <v>221</v>
      </c>
      <c r="H6" s="9">
        <v>0</v>
      </c>
      <c r="I6" s="9">
        <v>0</v>
      </c>
      <c r="J6" s="10">
        <v>34.4</v>
      </c>
      <c r="K6" s="10">
        <v>18.899999999999999</v>
      </c>
      <c r="L6" s="10">
        <v>12.7</v>
      </c>
      <c r="M6" s="10">
        <v>6.72</v>
      </c>
      <c r="N6" s="8" t="s">
        <v>405</v>
      </c>
      <c r="O6" s="8" t="s">
        <v>408</v>
      </c>
      <c r="P6" s="20">
        <v>64</v>
      </c>
      <c r="Q6" s="8">
        <v>1</v>
      </c>
      <c r="R6" s="8">
        <v>1</v>
      </c>
      <c r="S6" s="20">
        <v>0.35</v>
      </c>
      <c r="T6" s="20">
        <v>3</v>
      </c>
      <c r="U6" s="20">
        <v>10</v>
      </c>
      <c r="V6" s="20">
        <f t="shared" si="0"/>
        <v>0.3</v>
      </c>
      <c r="W6" s="8" t="s">
        <v>411</v>
      </c>
    </row>
    <row r="7" spans="1:23" x14ac:dyDescent="0.25">
      <c r="A7" s="8" t="s">
        <v>217</v>
      </c>
      <c r="B7" s="8" t="s">
        <v>61</v>
      </c>
      <c r="C7" s="8">
        <v>3</v>
      </c>
      <c r="D7" s="8" t="s">
        <v>387</v>
      </c>
      <c r="E7" s="8" t="s">
        <v>21</v>
      </c>
      <c r="F7" s="8" t="s">
        <v>220</v>
      </c>
      <c r="G7" s="8" t="s">
        <v>221</v>
      </c>
      <c r="H7" s="9">
        <v>0</v>
      </c>
      <c r="I7" s="9">
        <v>0</v>
      </c>
      <c r="J7" s="10">
        <v>27.7</v>
      </c>
      <c r="K7" s="10">
        <v>15.7</v>
      </c>
      <c r="L7" s="10">
        <v>10.4</v>
      </c>
      <c r="M7" s="10">
        <v>3.22</v>
      </c>
      <c r="N7" s="8" t="s">
        <v>406</v>
      </c>
      <c r="O7" s="8" t="s">
        <v>409</v>
      </c>
      <c r="P7" s="20">
        <v>74</v>
      </c>
      <c r="Q7" s="8">
        <v>1</v>
      </c>
      <c r="R7" s="8">
        <v>5</v>
      </c>
      <c r="S7" s="20">
        <v>0.55000000000000004</v>
      </c>
      <c r="T7" s="20">
        <v>2</v>
      </c>
      <c r="U7" s="20">
        <v>26</v>
      </c>
      <c r="V7" s="20">
        <f t="shared" si="0"/>
        <v>7.6923076923076927E-2</v>
      </c>
      <c r="W7" s="8" t="s">
        <v>412</v>
      </c>
    </row>
    <row r="8" spans="1:23" x14ac:dyDescent="0.25">
      <c r="A8" s="8" t="s">
        <v>218</v>
      </c>
      <c r="B8" s="8" t="s">
        <v>61</v>
      </c>
      <c r="C8" s="8">
        <v>3</v>
      </c>
      <c r="D8" s="8" t="s">
        <v>387</v>
      </c>
      <c r="E8" s="8" t="s">
        <v>15</v>
      </c>
      <c r="F8" s="8" t="s">
        <v>220</v>
      </c>
      <c r="G8" s="8" t="s">
        <v>222</v>
      </c>
      <c r="H8" s="8">
        <v>0.9</v>
      </c>
      <c r="I8" s="9">
        <v>0.05</v>
      </c>
      <c r="J8" s="10">
        <v>127.6</v>
      </c>
      <c r="K8" s="10">
        <v>88.5</v>
      </c>
      <c r="L8" s="10">
        <v>51.6</v>
      </c>
      <c r="M8" s="10">
        <v>832.4</v>
      </c>
      <c r="W8" s="8" t="s">
        <v>222</v>
      </c>
    </row>
    <row r="9" spans="1:23" x14ac:dyDescent="0.25">
      <c r="A9" s="8" t="s">
        <v>126</v>
      </c>
      <c r="B9" s="8" t="s">
        <v>62</v>
      </c>
      <c r="C9" s="8">
        <v>2</v>
      </c>
      <c r="D9" s="8" t="s">
        <v>385</v>
      </c>
      <c r="E9" s="8" t="s">
        <v>21</v>
      </c>
      <c r="F9" s="8" t="s">
        <v>220</v>
      </c>
      <c r="G9" s="8" t="s">
        <v>222</v>
      </c>
      <c r="H9" s="8">
        <v>1</v>
      </c>
      <c r="I9" s="9">
        <v>0</v>
      </c>
      <c r="J9" s="10">
        <v>127.5</v>
      </c>
      <c r="K9" s="10">
        <v>81</v>
      </c>
      <c r="L9" s="10">
        <v>64.599999999999994</v>
      </c>
      <c r="M9" s="10">
        <v>1019.4</v>
      </c>
      <c r="W9" s="8" t="s">
        <v>222</v>
      </c>
    </row>
    <row r="10" spans="1:23" x14ac:dyDescent="0.25">
      <c r="H10" s="9"/>
      <c r="I10" s="9"/>
    </row>
    <row r="11" spans="1:23" x14ac:dyDescent="0.25">
      <c r="H11" s="9"/>
      <c r="I11" s="9"/>
    </row>
    <row r="12" spans="1:23" x14ac:dyDescent="0.25">
      <c r="I12" s="9"/>
    </row>
    <row r="13" spans="1:23" x14ac:dyDescent="0.25">
      <c r="I13" s="9"/>
    </row>
    <row r="14" spans="1:23" x14ac:dyDescent="0.25">
      <c r="H14" s="9"/>
      <c r="I14" s="9"/>
    </row>
    <row r="15" spans="1:23" x14ac:dyDescent="0.25">
      <c r="H15" s="9"/>
      <c r="I15" s="9"/>
    </row>
    <row r="16" spans="1:23" x14ac:dyDescent="0.25">
      <c r="H16" s="9"/>
      <c r="I16" s="9"/>
    </row>
    <row r="17" spans="8:9" x14ac:dyDescent="0.25">
      <c r="H17" s="9"/>
      <c r="I17" s="9"/>
    </row>
    <row r="18" spans="8:9" x14ac:dyDescent="0.25">
      <c r="H18" s="9"/>
      <c r="I18" s="9"/>
    </row>
    <row r="19" spans="8:9" x14ac:dyDescent="0.25">
      <c r="H19" s="9"/>
      <c r="I19" s="9"/>
    </row>
    <row r="20" spans="8:9" x14ac:dyDescent="0.25">
      <c r="H20" s="9"/>
      <c r="I20" s="9"/>
    </row>
    <row r="21" spans="8:9" x14ac:dyDescent="0.25">
      <c r="I21" s="9"/>
    </row>
    <row r="22" spans="8:9" x14ac:dyDescent="0.25">
      <c r="I22" s="9"/>
    </row>
  </sheetData>
  <phoneticPr fontId="1" type="noConversion"/>
  <dataValidations count="4">
    <dataValidation type="list" allowBlank="1" showInputMessage="1" showErrorMessage="1" sqref="O10:O1048576" xr:uid="{5D404320-7C72-4ED7-93AD-343CDA0B864A}">
      <formula1>"prox,lat,dist,cres,back"</formula1>
    </dataValidation>
    <dataValidation type="list" allowBlank="1" showInputMessage="1" showErrorMessage="1" sqref="N10:N1048576" xr:uid="{1546C6D4-AE15-413C-B998-E4C5908D584F}">
      <formula1>"obv,inv,alt,altn,bif"</formula1>
    </dataValidation>
    <dataValidation type="list" allowBlank="1" showInputMessage="1" showErrorMessage="1" sqref="E10:E1048576" xr:uid="{AD3A252A-9606-4CED-A96E-EAB1AF7BCEDB}">
      <formula1>"unwthrd,sl_wthrd,md_wthrd,hi_wthrd"</formula1>
    </dataValidation>
    <dataValidation type="list" allowBlank="1" showInputMessage="1" showErrorMessage="1" sqref="H10:I1048576" xr:uid="{B7B69EA1-7196-4714-8615-C2D6F5CB58E0}">
      <formula1>"0%,1-20%,20-40%,40-60%,60-80%,80-99%,100%"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4D50A-24CC-43BE-AD71-8CB3E04E2731}">
  <dimension ref="A1:L151"/>
  <sheetViews>
    <sheetView topLeftCell="A25" zoomScale="115" zoomScaleNormal="115" workbookViewId="0">
      <selection activeCell="E34" sqref="E34"/>
    </sheetView>
  </sheetViews>
  <sheetFormatPr defaultColWidth="8.6640625" defaultRowHeight="15.6" x14ac:dyDescent="0.25"/>
  <cols>
    <col min="1" max="1" width="14.33203125" style="8" customWidth="1"/>
    <col min="2" max="2" width="6.6640625" style="8" customWidth="1"/>
    <col min="3" max="3" width="6.77734375" style="8" customWidth="1"/>
    <col min="4" max="4" width="10.6640625" style="8" customWidth="1"/>
    <col min="5" max="5" width="10.44140625" style="8" customWidth="1"/>
    <col min="6" max="6" width="8.6640625" style="8"/>
    <col min="7" max="8" width="8.88671875" style="17" bestFit="1" customWidth="1"/>
    <col min="9" max="10" width="8.88671875" style="10" bestFit="1" customWidth="1"/>
    <col min="11" max="11" width="9" style="10" customWidth="1"/>
    <col min="12" max="12" width="9.44140625" style="10" bestFit="1" customWidth="1"/>
    <col min="13" max="16384" width="8.6640625" style="8"/>
  </cols>
  <sheetData>
    <row r="1" spans="1:12" x14ac:dyDescent="0.25">
      <c r="A1" s="1" t="s">
        <v>44</v>
      </c>
      <c r="B1" s="2" t="s">
        <v>59</v>
      </c>
      <c r="C1" s="2" t="s">
        <v>0</v>
      </c>
      <c r="D1" s="2" t="s">
        <v>1</v>
      </c>
      <c r="E1" s="2" t="s">
        <v>2</v>
      </c>
      <c r="F1" s="2" t="s">
        <v>3</v>
      </c>
      <c r="G1" s="15" t="s">
        <v>5</v>
      </c>
      <c r="H1" s="15" t="s">
        <v>6</v>
      </c>
      <c r="I1" s="4" t="s">
        <v>7</v>
      </c>
      <c r="J1" s="4" t="s">
        <v>8</v>
      </c>
      <c r="K1" s="4" t="s">
        <v>9</v>
      </c>
      <c r="L1" s="4" t="s">
        <v>10</v>
      </c>
    </row>
    <row r="2" spans="1:12" x14ac:dyDescent="0.25">
      <c r="A2" s="8" t="s">
        <v>344</v>
      </c>
      <c r="B2" s="8" t="s">
        <v>60</v>
      </c>
      <c r="C2" s="8">
        <v>3</v>
      </c>
      <c r="D2" s="8" t="s">
        <v>397</v>
      </c>
      <c r="E2" s="8" t="s">
        <v>15</v>
      </c>
      <c r="F2" s="8" t="s">
        <v>319</v>
      </c>
      <c r="G2" s="17">
        <v>0.2</v>
      </c>
      <c r="H2" s="17">
        <v>0.2</v>
      </c>
      <c r="I2" s="10">
        <v>72.5</v>
      </c>
      <c r="J2" s="10">
        <v>64.599999999999994</v>
      </c>
      <c r="K2" s="10">
        <v>26.5</v>
      </c>
      <c r="L2" s="10">
        <v>108.28</v>
      </c>
    </row>
    <row r="3" spans="1:12" x14ac:dyDescent="0.25">
      <c r="A3" s="8" t="s">
        <v>328</v>
      </c>
      <c r="B3" s="8" t="s">
        <v>60</v>
      </c>
      <c r="C3" s="8">
        <v>2</v>
      </c>
      <c r="D3" s="8" t="s">
        <v>391</v>
      </c>
      <c r="E3" s="8" t="s">
        <v>15</v>
      </c>
      <c r="F3" s="8" t="s">
        <v>319</v>
      </c>
      <c r="G3" s="17">
        <v>0.15</v>
      </c>
      <c r="H3" s="17">
        <v>0</v>
      </c>
      <c r="I3" s="10">
        <v>47.1</v>
      </c>
      <c r="J3" s="10">
        <v>33.4</v>
      </c>
      <c r="K3" s="10">
        <v>27.9</v>
      </c>
      <c r="L3" s="10">
        <v>39.799999999999997</v>
      </c>
    </row>
    <row r="4" spans="1:12" x14ac:dyDescent="0.25">
      <c r="A4" s="8" t="s">
        <v>329</v>
      </c>
      <c r="B4" s="8" t="s">
        <v>60</v>
      </c>
      <c r="C4" s="8">
        <v>2</v>
      </c>
      <c r="D4" s="8" t="s">
        <v>398</v>
      </c>
      <c r="E4" s="8" t="s">
        <v>21</v>
      </c>
      <c r="F4" s="8" t="s">
        <v>319</v>
      </c>
      <c r="G4" s="17">
        <v>0.5</v>
      </c>
      <c r="H4" s="17">
        <v>0.05</v>
      </c>
      <c r="I4" s="10">
        <v>50.6</v>
      </c>
      <c r="J4" s="10">
        <v>44.3</v>
      </c>
      <c r="K4" s="10">
        <v>33.9</v>
      </c>
      <c r="L4" s="10">
        <v>67.81</v>
      </c>
    </row>
    <row r="5" spans="1:12" x14ac:dyDescent="0.25">
      <c r="A5" s="8" t="s">
        <v>330</v>
      </c>
      <c r="B5" s="8" t="s">
        <v>60</v>
      </c>
      <c r="C5" s="8">
        <v>2</v>
      </c>
      <c r="D5" s="8" t="s">
        <v>394</v>
      </c>
      <c r="E5" s="8" t="s">
        <v>15</v>
      </c>
      <c r="F5" s="8" t="s">
        <v>318</v>
      </c>
      <c r="G5" s="17">
        <v>0.4</v>
      </c>
      <c r="H5" s="17">
        <v>0</v>
      </c>
      <c r="I5" s="10">
        <v>69</v>
      </c>
      <c r="J5" s="10">
        <v>34.799999999999997</v>
      </c>
      <c r="K5" s="10">
        <v>20.6</v>
      </c>
      <c r="L5" s="10">
        <v>34.31</v>
      </c>
    </row>
    <row r="6" spans="1:12" x14ac:dyDescent="0.25">
      <c r="A6" s="8" t="s">
        <v>331</v>
      </c>
      <c r="B6" s="8" t="s">
        <v>60</v>
      </c>
      <c r="C6" s="8">
        <v>2</v>
      </c>
      <c r="D6" s="8" t="s">
        <v>398</v>
      </c>
      <c r="E6" s="8" t="s">
        <v>15</v>
      </c>
      <c r="F6" s="8" t="s">
        <v>318</v>
      </c>
      <c r="G6" s="17">
        <v>0.4</v>
      </c>
      <c r="H6" s="17">
        <v>0.1</v>
      </c>
      <c r="I6" s="10">
        <v>39.200000000000003</v>
      </c>
      <c r="J6" s="10">
        <v>23.3</v>
      </c>
      <c r="K6" s="10">
        <v>10.7</v>
      </c>
      <c r="L6" s="10">
        <v>7.25</v>
      </c>
    </row>
    <row r="7" spans="1:12" x14ac:dyDescent="0.25">
      <c r="A7" s="8" t="s">
        <v>332</v>
      </c>
      <c r="B7" s="8" t="s">
        <v>60</v>
      </c>
      <c r="C7" s="8">
        <v>2</v>
      </c>
      <c r="D7" s="8" t="s">
        <v>398</v>
      </c>
      <c r="E7" s="8" t="s">
        <v>21</v>
      </c>
      <c r="F7" s="8" t="s">
        <v>318</v>
      </c>
      <c r="G7" s="17">
        <v>0.4</v>
      </c>
      <c r="H7" s="17">
        <v>0.1</v>
      </c>
      <c r="I7" s="10">
        <v>53</v>
      </c>
      <c r="J7" s="10">
        <v>41.4</v>
      </c>
      <c r="K7" s="10">
        <v>19.899999999999999</v>
      </c>
      <c r="L7" s="10">
        <v>26.9</v>
      </c>
    </row>
    <row r="8" spans="1:12" x14ac:dyDescent="0.25">
      <c r="A8" s="8" t="s">
        <v>333</v>
      </c>
      <c r="B8" s="8" t="s">
        <v>60</v>
      </c>
      <c r="C8" s="8">
        <v>2</v>
      </c>
      <c r="D8" s="8" t="s">
        <v>395</v>
      </c>
      <c r="E8" s="8" t="s">
        <v>21</v>
      </c>
      <c r="F8" s="8" t="s">
        <v>318</v>
      </c>
      <c r="G8" s="17">
        <v>0</v>
      </c>
      <c r="H8" s="17">
        <v>0.4</v>
      </c>
      <c r="I8" s="10">
        <v>32.6</v>
      </c>
      <c r="J8" s="10">
        <v>18.600000000000001</v>
      </c>
      <c r="K8" s="10">
        <v>16.899999999999999</v>
      </c>
      <c r="L8" s="10">
        <v>8.52</v>
      </c>
    </row>
    <row r="9" spans="1:12" x14ac:dyDescent="0.25">
      <c r="A9" s="8" t="s">
        <v>334</v>
      </c>
      <c r="B9" s="8" t="s">
        <v>60</v>
      </c>
      <c r="C9" s="8">
        <v>2</v>
      </c>
      <c r="D9" s="8" t="s">
        <v>398</v>
      </c>
      <c r="E9" s="8" t="s">
        <v>21</v>
      </c>
      <c r="F9" s="8" t="s">
        <v>318</v>
      </c>
      <c r="G9" s="17">
        <v>0.6</v>
      </c>
      <c r="H9" s="17">
        <v>0.15</v>
      </c>
      <c r="I9" s="10">
        <v>58.8</v>
      </c>
      <c r="J9" s="10">
        <v>44.3</v>
      </c>
      <c r="K9" s="10">
        <v>18</v>
      </c>
      <c r="L9" s="10">
        <v>45.02</v>
      </c>
    </row>
    <row r="10" spans="1:12" x14ac:dyDescent="0.25">
      <c r="A10" s="8" t="s">
        <v>335</v>
      </c>
      <c r="B10" s="8" t="s">
        <v>60</v>
      </c>
      <c r="C10" s="8">
        <v>2</v>
      </c>
      <c r="D10" s="8" t="s">
        <v>399</v>
      </c>
      <c r="E10" s="8" t="s">
        <v>21</v>
      </c>
      <c r="F10" s="8" t="s">
        <v>318</v>
      </c>
      <c r="G10" s="17">
        <v>0.05</v>
      </c>
      <c r="H10" s="17">
        <v>0</v>
      </c>
      <c r="I10" s="10">
        <v>31.9</v>
      </c>
      <c r="J10" s="10">
        <v>24.9</v>
      </c>
      <c r="K10" s="10">
        <v>8.6</v>
      </c>
      <c r="L10" s="10">
        <v>7.12</v>
      </c>
    </row>
    <row r="11" spans="1:12" x14ac:dyDescent="0.25">
      <c r="A11" s="8" t="s">
        <v>336</v>
      </c>
      <c r="B11" s="8" t="s">
        <v>60</v>
      </c>
      <c r="C11" s="8">
        <v>2</v>
      </c>
      <c r="D11" s="8" t="s">
        <v>393</v>
      </c>
      <c r="E11" s="8" t="s">
        <v>15</v>
      </c>
      <c r="F11" s="8" t="s">
        <v>318</v>
      </c>
      <c r="G11" s="17">
        <v>0</v>
      </c>
      <c r="H11" s="17">
        <v>0.75</v>
      </c>
      <c r="I11" s="10">
        <v>40.5</v>
      </c>
      <c r="J11" s="10">
        <v>31.5</v>
      </c>
      <c r="K11" s="10">
        <v>10.9</v>
      </c>
      <c r="L11" s="10">
        <v>15.6</v>
      </c>
    </row>
    <row r="12" spans="1:12" x14ac:dyDescent="0.25">
      <c r="A12" s="8" t="s">
        <v>337</v>
      </c>
      <c r="B12" s="8" t="s">
        <v>60</v>
      </c>
      <c r="C12" s="8">
        <v>2</v>
      </c>
      <c r="D12" s="8" t="s">
        <v>395</v>
      </c>
      <c r="E12" s="8" t="s">
        <v>403</v>
      </c>
      <c r="F12" s="8" t="s">
        <v>318</v>
      </c>
      <c r="G12" s="17">
        <v>0.4</v>
      </c>
      <c r="H12" s="17">
        <v>0</v>
      </c>
      <c r="I12" s="10">
        <v>55.8</v>
      </c>
      <c r="J12" s="10">
        <v>34.200000000000003</v>
      </c>
      <c r="K12" s="10">
        <v>14.1</v>
      </c>
      <c r="L12" s="10">
        <v>31.15</v>
      </c>
    </row>
    <row r="13" spans="1:12" x14ac:dyDescent="0.25">
      <c r="A13" s="8" t="s">
        <v>338</v>
      </c>
      <c r="B13" s="8" t="s">
        <v>60</v>
      </c>
      <c r="C13" s="8">
        <v>2</v>
      </c>
      <c r="D13" s="8" t="s">
        <v>393</v>
      </c>
      <c r="E13" s="8" t="s">
        <v>15</v>
      </c>
      <c r="F13" s="8" t="s">
        <v>318</v>
      </c>
      <c r="G13" s="17">
        <v>0</v>
      </c>
      <c r="H13" s="17">
        <v>0.35</v>
      </c>
      <c r="I13" s="10">
        <v>35.9</v>
      </c>
      <c r="J13" s="10">
        <v>30.1</v>
      </c>
      <c r="K13" s="10">
        <v>13.7</v>
      </c>
      <c r="L13" s="10">
        <v>10.47</v>
      </c>
    </row>
    <row r="14" spans="1:12" x14ac:dyDescent="0.25">
      <c r="A14" s="8" t="s">
        <v>348</v>
      </c>
      <c r="B14" s="8" t="s">
        <v>60</v>
      </c>
      <c r="C14" s="8">
        <v>3</v>
      </c>
      <c r="D14" s="8" t="s">
        <v>391</v>
      </c>
      <c r="E14" s="8" t="s">
        <v>15</v>
      </c>
      <c r="F14" s="8" t="s">
        <v>318</v>
      </c>
      <c r="G14" s="17">
        <v>0</v>
      </c>
      <c r="H14" s="17">
        <v>0.4</v>
      </c>
      <c r="I14" s="10">
        <v>22.8</v>
      </c>
      <c r="J14" s="10">
        <v>9.6999999999999993</v>
      </c>
      <c r="K14" s="10">
        <v>3.4</v>
      </c>
      <c r="L14" s="10">
        <v>0.7</v>
      </c>
    </row>
    <row r="15" spans="1:12" x14ac:dyDescent="0.25">
      <c r="A15" s="8" t="s">
        <v>349</v>
      </c>
      <c r="B15" s="8" t="s">
        <v>60</v>
      </c>
      <c r="C15" s="8">
        <v>3</v>
      </c>
      <c r="D15" s="8" t="s">
        <v>392</v>
      </c>
      <c r="E15" s="8" t="s">
        <v>15</v>
      </c>
      <c r="F15" s="8" t="s">
        <v>318</v>
      </c>
      <c r="G15" s="17">
        <v>0</v>
      </c>
      <c r="H15" s="17">
        <v>0</v>
      </c>
      <c r="I15" s="10">
        <v>27.4</v>
      </c>
      <c r="J15" s="10">
        <v>18.899999999999999</v>
      </c>
      <c r="K15" s="10">
        <v>5.4</v>
      </c>
      <c r="L15" s="10">
        <v>1.77</v>
      </c>
    </row>
    <row r="16" spans="1:12" x14ac:dyDescent="0.25">
      <c r="A16" s="8" t="s">
        <v>350</v>
      </c>
      <c r="B16" s="8" t="s">
        <v>60</v>
      </c>
      <c r="C16" s="8">
        <v>3</v>
      </c>
      <c r="D16" s="8" t="s">
        <v>391</v>
      </c>
      <c r="E16" s="8" t="s">
        <v>21</v>
      </c>
      <c r="F16" s="8" t="s">
        <v>318</v>
      </c>
      <c r="G16" s="17">
        <v>0.45</v>
      </c>
      <c r="H16" s="17">
        <v>0.1</v>
      </c>
      <c r="I16" s="10">
        <v>38.1</v>
      </c>
      <c r="J16" s="10">
        <v>32.6</v>
      </c>
      <c r="K16" s="10">
        <v>8.8000000000000007</v>
      </c>
      <c r="L16" s="10">
        <v>8</v>
      </c>
    </row>
    <row r="17" spans="1:12" x14ac:dyDescent="0.25">
      <c r="A17" s="8" t="s">
        <v>351</v>
      </c>
      <c r="B17" s="8" t="s">
        <v>60</v>
      </c>
      <c r="C17" s="8">
        <v>3</v>
      </c>
      <c r="D17" s="8" t="s">
        <v>402</v>
      </c>
      <c r="E17" s="8" t="s">
        <v>15</v>
      </c>
      <c r="F17" s="8" t="s">
        <v>318</v>
      </c>
      <c r="G17" s="17">
        <v>0</v>
      </c>
      <c r="H17" s="17">
        <v>0</v>
      </c>
      <c r="I17" s="10">
        <v>19.100000000000001</v>
      </c>
      <c r="J17" s="10">
        <v>18.100000000000001</v>
      </c>
      <c r="K17" s="10">
        <v>8.1999999999999993</v>
      </c>
      <c r="L17" s="10">
        <v>2.06</v>
      </c>
    </row>
    <row r="18" spans="1:12" x14ac:dyDescent="0.25">
      <c r="A18" s="8" t="s">
        <v>352</v>
      </c>
      <c r="B18" s="8" t="s">
        <v>60</v>
      </c>
      <c r="C18" s="8">
        <v>3</v>
      </c>
      <c r="D18" s="8" t="s">
        <v>391</v>
      </c>
      <c r="E18" s="8" t="s">
        <v>15</v>
      </c>
      <c r="F18" s="8" t="s">
        <v>318</v>
      </c>
      <c r="G18" s="17">
        <v>0</v>
      </c>
      <c r="H18" s="17">
        <v>0.3</v>
      </c>
      <c r="I18" s="10">
        <v>13</v>
      </c>
      <c r="J18" s="10">
        <v>12.2</v>
      </c>
      <c r="K18" s="10">
        <v>8.1</v>
      </c>
      <c r="L18" s="10">
        <v>1.01</v>
      </c>
    </row>
    <row r="19" spans="1:12" x14ac:dyDescent="0.25">
      <c r="A19" s="8" t="s">
        <v>353</v>
      </c>
      <c r="B19" s="8" t="s">
        <v>60</v>
      </c>
      <c r="C19" s="8">
        <v>3</v>
      </c>
      <c r="D19" s="8" t="s">
        <v>391</v>
      </c>
      <c r="E19" s="8" t="s">
        <v>15</v>
      </c>
      <c r="F19" s="8" t="s">
        <v>318</v>
      </c>
      <c r="G19" s="17">
        <v>0.1</v>
      </c>
      <c r="H19" s="17">
        <v>0</v>
      </c>
      <c r="I19" s="10">
        <v>40.9</v>
      </c>
      <c r="J19" s="10">
        <v>16</v>
      </c>
      <c r="K19" s="10">
        <v>7.2</v>
      </c>
      <c r="L19" s="10">
        <v>3.46</v>
      </c>
    </row>
    <row r="20" spans="1:12" x14ac:dyDescent="0.25">
      <c r="A20" s="8" t="s">
        <v>128</v>
      </c>
      <c r="B20" s="8" t="s">
        <v>60</v>
      </c>
      <c r="C20" s="8">
        <v>2</v>
      </c>
      <c r="D20" s="8" t="s">
        <v>391</v>
      </c>
      <c r="E20" s="8" t="s">
        <v>15</v>
      </c>
      <c r="F20" s="8" t="s">
        <v>318</v>
      </c>
      <c r="G20" s="17">
        <v>0</v>
      </c>
      <c r="H20" s="17">
        <v>0</v>
      </c>
      <c r="I20" s="10">
        <v>30.1</v>
      </c>
      <c r="J20" s="10">
        <v>20.8</v>
      </c>
      <c r="K20" s="10">
        <v>9.9</v>
      </c>
      <c r="L20" s="10">
        <v>6.53</v>
      </c>
    </row>
    <row r="21" spans="1:12" x14ac:dyDescent="0.25">
      <c r="A21" s="8" t="s">
        <v>223</v>
      </c>
      <c r="B21" s="8" t="s">
        <v>60</v>
      </c>
      <c r="C21" s="8">
        <v>2</v>
      </c>
      <c r="D21" s="8" t="s">
        <v>393</v>
      </c>
      <c r="E21" s="8" t="s">
        <v>15</v>
      </c>
      <c r="F21" s="8" t="s">
        <v>318</v>
      </c>
      <c r="G21" s="17">
        <v>0</v>
      </c>
      <c r="H21" s="17">
        <v>0</v>
      </c>
      <c r="I21" s="10">
        <v>13.8</v>
      </c>
      <c r="J21" s="10">
        <v>7.4</v>
      </c>
      <c r="K21" s="10">
        <v>5.2</v>
      </c>
      <c r="L21" s="10">
        <v>0.57999999999999996</v>
      </c>
    </row>
    <row r="22" spans="1:12" x14ac:dyDescent="0.25">
      <c r="A22" s="8" t="s">
        <v>224</v>
      </c>
      <c r="B22" s="8" t="s">
        <v>60</v>
      </c>
      <c r="C22" s="8">
        <v>2</v>
      </c>
      <c r="D22" s="8" t="s">
        <v>393</v>
      </c>
      <c r="E22" s="8" t="s">
        <v>15</v>
      </c>
      <c r="F22" s="8" t="s">
        <v>318</v>
      </c>
      <c r="G22" s="17">
        <v>0</v>
      </c>
      <c r="H22" s="17">
        <v>0.35</v>
      </c>
      <c r="I22" s="10">
        <v>21.2</v>
      </c>
      <c r="J22" s="10">
        <v>12</v>
      </c>
      <c r="K22" s="10">
        <v>11.4</v>
      </c>
      <c r="L22" s="10">
        <v>2.6</v>
      </c>
    </row>
    <row r="23" spans="1:12" x14ac:dyDescent="0.25">
      <c r="A23" s="8" t="s">
        <v>225</v>
      </c>
      <c r="B23" s="8" t="s">
        <v>60</v>
      </c>
      <c r="C23" s="8">
        <v>2</v>
      </c>
      <c r="D23" s="8" t="s">
        <v>393</v>
      </c>
      <c r="E23" s="8" t="s">
        <v>15</v>
      </c>
      <c r="F23" s="8" t="s">
        <v>318</v>
      </c>
      <c r="G23" s="17">
        <v>0</v>
      </c>
      <c r="H23" s="17">
        <v>0.3</v>
      </c>
      <c r="I23" s="10">
        <v>11.8</v>
      </c>
      <c r="J23" s="10">
        <v>4.9000000000000004</v>
      </c>
      <c r="K23" s="10">
        <v>4.7</v>
      </c>
      <c r="L23" s="10">
        <v>0.28000000000000003</v>
      </c>
    </row>
    <row r="24" spans="1:12" x14ac:dyDescent="0.25">
      <c r="A24" s="8" t="s">
        <v>226</v>
      </c>
      <c r="B24" s="8" t="s">
        <v>60</v>
      </c>
      <c r="C24" s="8">
        <v>2</v>
      </c>
      <c r="D24" s="8" t="s">
        <v>393</v>
      </c>
      <c r="E24" s="8" t="s">
        <v>15</v>
      </c>
      <c r="F24" s="8" t="s">
        <v>318</v>
      </c>
      <c r="G24" s="17">
        <v>0</v>
      </c>
      <c r="H24" s="17">
        <v>0.4</v>
      </c>
      <c r="I24" s="10">
        <v>29.2</v>
      </c>
      <c r="J24" s="10">
        <v>27.9</v>
      </c>
      <c r="K24" s="10">
        <v>13.1</v>
      </c>
      <c r="L24" s="10">
        <v>12.19</v>
      </c>
    </row>
    <row r="25" spans="1:12" x14ac:dyDescent="0.25">
      <c r="A25" s="8" t="s">
        <v>227</v>
      </c>
      <c r="B25" s="8" t="s">
        <v>60</v>
      </c>
      <c r="C25" s="8">
        <v>2</v>
      </c>
      <c r="D25" s="8" t="s">
        <v>393</v>
      </c>
      <c r="E25" s="8" t="s">
        <v>15</v>
      </c>
      <c r="F25" s="8" t="s">
        <v>318</v>
      </c>
      <c r="G25" s="17">
        <v>0</v>
      </c>
      <c r="H25" s="17">
        <v>0.8</v>
      </c>
      <c r="I25" s="10">
        <v>10.7</v>
      </c>
      <c r="J25" s="10">
        <v>10</v>
      </c>
      <c r="K25" s="10">
        <v>5.5</v>
      </c>
      <c r="L25" s="10">
        <v>0.63</v>
      </c>
    </row>
    <row r="26" spans="1:12" x14ac:dyDescent="0.25">
      <c r="A26" s="8" t="s">
        <v>50</v>
      </c>
      <c r="B26" s="8" t="s">
        <v>60</v>
      </c>
      <c r="C26" s="8">
        <v>2</v>
      </c>
      <c r="D26" s="8" t="s">
        <v>393</v>
      </c>
      <c r="E26" s="8" t="s">
        <v>15</v>
      </c>
      <c r="F26" s="8" t="s">
        <v>318</v>
      </c>
      <c r="G26" s="17">
        <v>0</v>
      </c>
      <c r="H26" s="17">
        <v>0.4</v>
      </c>
      <c r="I26" s="10">
        <v>12.8</v>
      </c>
      <c r="J26" s="10">
        <v>12.1</v>
      </c>
      <c r="K26" s="10">
        <v>9.4</v>
      </c>
      <c r="L26" s="10">
        <v>1.86</v>
      </c>
    </row>
    <row r="27" spans="1:12" x14ac:dyDescent="0.25">
      <c r="A27" s="8" t="s">
        <v>228</v>
      </c>
      <c r="B27" s="8" t="s">
        <v>60</v>
      </c>
      <c r="C27" s="8">
        <v>2</v>
      </c>
      <c r="D27" s="8" t="s">
        <v>393</v>
      </c>
      <c r="E27" s="8" t="s">
        <v>15</v>
      </c>
      <c r="F27" s="8" t="s">
        <v>318</v>
      </c>
      <c r="G27" s="17">
        <v>0</v>
      </c>
      <c r="H27" s="17">
        <v>0.7</v>
      </c>
      <c r="I27" s="10">
        <v>6.3</v>
      </c>
      <c r="J27" s="10">
        <v>4.4000000000000004</v>
      </c>
      <c r="K27" s="10">
        <v>3.5</v>
      </c>
      <c r="L27" s="10">
        <v>0.16</v>
      </c>
    </row>
    <row r="28" spans="1:12" x14ac:dyDescent="0.25">
      <c r="A28" s="8" t="s">
        <v>229</v>
      </c>
      <c r="B28" s="8" t="s">
        <v>60</v>
      </c>
      <c r="C28" s="8">
        <v>2</v>
      </c>
      <c r="D28" s="8" t="s">
        <v>393</v>
      </c>
      <c r="E28" s="8" t="s">
        <v>15</v>
      </c>
      <c r="F28" s="8" t="s">
        <v>318</v>
      </c>
      <c r="G28" s="17">
        <v>0</v>
      </c>
      <c r="H28" s="17">
        <v>0.4</v>
      </c>
      <c r="I28" s="10">
        <v>9</v>
      </c>
      <c r="J28" s="10">
        <v>8.3000000000000007</v>
      </c>
      <c r="K28" s="10">
        <v>4.0999999999999996</v>
      </c>
      <c r="L28" s="10">
        <v>0.33</v>
      </c>
    </row>
    <row r="29" spans="1:12" x14ac:dyDescent="0.25">
      <c r="A29" s="8" t="s">
        <v>230</v>
      </c>
      <c r="B29" s="8" t="s">
        <v>60</v>
      </c>
      <c r="C29" s="8">
        <v>2</v>
      </c>
      <c r="D29" s="8" t="s">
        <v>393</v>
      </c>
      <c r="E29" s="8" t="s">
        <v>15</v>
      </c>
      <c r="F29" s="8" t="s">
        <v>318</v>
      </c>
      <c r="G29" s="17">
        <v>0</v>
      </c>
      <c r="H29" s="17">
        <v>0.45</v>
      </c>
      <c r="I29" s="10">
        <v>16.899999999999999</v>
      </c>
      <c r="J29" s="10">
        <v>13</v>
      </c>
      <c r="K29" s="10">
        <v>7</v>
      </c>
      <c r="L29" s="10">
        <v>1.4</v>
      </c>
    </row>
    <row r="30" spans="1:12" x14ac:dyDescent="0.25">
      <c r="A30" s="8" t="s">
        <v>231</v>
      </c>
      <c r="B30" s="8" t="s">
        <v>60</v>
      </c>
      <c r="C30" s="8">
        <v>2</v>
      </c>
      <c r="D30" s="8" t="s">
        <v>393</v>
      </c>
      <c r="E30" s="8" t="s">
        <v>15</v>
      </c>
      <c r="F30" s="8" t="s">
        <v>318</v>
      </c>
      <c r="G30" s="17">
        <v>0</v>
      </c>
      <c r="H30" s="17">
        <v>0</v>
      </c>
      <c r="I30" s="10">
        <v>10.199999999999999</v>
      </c>
      <c r="J30" s="10">
        <v>8.6999999999999993</v>
      </c>
      <c r="K30" s="10">
        <v>5.9</v>
      </c>
      <c r="L30" s="10">
        <v>0.53</v>
      </c>
    </row>
    <row r="31" spans="1:12" x14ac:dyDescent="0.25">
      <c r="A31" s="8" t="s">
        <v>232</v>
      </c>
      <c r="B31" s="8" t="s">
        <v>60</v>
      </c>
      <c r="C31" s="8">
        <v>2</v>
      </c>
      <c r="D31" s="8" t="s">
        <v>393</v>
      </c>
      <c r="E31" s="8" t="s">
        <v>15</v>
      </c>
      <c r="F31" s="8" t="s">
        <v>318</v>
      </c>
      <c r="G31" s="17">
        <v>0</v>
      </c>
      <c r="H31" s="17">
        <v>0.6</v>
      </c>
      <c r="I31" s="10">
        <v>10.7</v>
      </c>
      <c r="J31" s="10">
        <v>8.1</v>
      </c>
      <c r="K31" s="10">
        <v>7.9</v>
      </c>
      <c r="L31" s="10">
        <v>0.79</v>
      </c>
    </row>
    <row r="32" spans="1:12" x14ac:dyDescent="0.25">
      <c r="A32" s="8" t="s">
        <v>233</v>
      </c>
      <c r="B32" s="8" t="s">
        <v>60</v>
      </c>
      <c r="C32" s="8">
        <v>2</v>
      </c>
      <c r="D32" s="8" t="s">
        <v>393</v>
      </c>
      <c r="E32" s="8" t="s">
        <v>15</v>
      </c>
      <c r="F32" s="8" t="s">
        <v>318</v>
      </c>
      <c r="G32" s="17">
        <v>0</v>
      </c>
      <c r="H32" s="17">
        <v>0.25</v>
      </c>
      <c r="I32" s="10">
        <v>38.200000000000003</v>
      </c>
      <c r="J32" s="10">
        <v>26.9</v>
      </c>
      <c r="K32" s="10">
        <v>15.4</v>
      </c>
      <c r="L32" s="10">
        <v>17.260000000000002</v>
      </c>
    </row>
    <row r="33" spans="1:12" x14ac:dyDescent="0.25">
      <c r="A33" s="8" t="s">
        <v>234</v>
      </c>
      <c r="B33" s="8" t="s">
        <v>60</v>
      </c>
      <c r="C33" s="8">
        <v>2</v>
      </c>
      <c r="D33" s="8" t="s">
        <v>393</v>
      </c>
      <c r="E33" s="8" t="s">
        <v>15</v>
      </c>
      <c r="F33" s="8" t="s">
        <v>318</v>
      </c>
      <c r="G33" s="17">
        <v>0</v>
      </c>
      <c r="H33" s="17">
        <v>0.3</v>
      </c>
      <c r="I33" s="10">
        <v>10.5</v>
      </c>
      <c r="J33" s="10">
        <v>8</v>
      </c>
      <c r="K33" s="10">
        <v>4.7</v>
      </c>
      <c r="L33" s="10">
        <v>0.5</v>
      </c>
    </row>
    <row r="34" spans="1:12" x14ac:dyDescent="0.25">
      <c r="A34" s="8" t="s">
        <v>235</v>
      </c>
      <c r="B34" s="8" t="s">
        <v>60</v>
      </c>
      <c r="C34" s="8">
        <v>2</v>
      </c>
      <c r="D34" s="8" t="s">
        <v>393</v>
      </c>
      <c r="E34" s="8" t="s">
        <v>15</v>
      </c>
      <c r="F34" s="8" t="s">
        <v>318</v>
      </c>
      <c r="G34" s="17">
        <v>0</v>
      </c>
      <c r="H34" s="17">
        <v>0.1</v>
      </c>
      <c r="I34" s="10">
        <v>8.6999999999999993</v>
      </c>
      <c r="J34" s="10">
        <v>7.2</v>
      </c>
      <c r="K34" s="10">
        <v>3.5</v>
      </c>
      <c r="L34" s="10">
        <v>0.26</v>
      </c>
    </row>
    <row r="35" spans="1:12" x14ac:dyDescent="0.25">
      <c r="A35" s="8" t="s">
        <v>236</v>
      </c>
      <c r="B35" s="8" t="s">
        <v>60</v>
      </c>
      <c r="C35" s="8">
        <v>2</v>
      </c>
      <c r="D35" s="8" t="s">
        <v>393</v>
      </c>
      <c r="E35" s="8" t="s">
        <v>15</v>
      </c>
      <c r="F35" s="8" t="s">
        <v>318</v>
      </c>
      <c r="G35" s="17">
        <v>0</v>
      </c>
      <c r="H35" s="17">
        <v>0.4</v>
      </c>
      <c r="I35" s="10">
        <v>14.3</v>
      </c>
      <c r="J35" s="10">
        <v>12.5</v>
      </c>
      <c r="K35" s="10">
        <v>6.6</v>
      </c>
      <c r="L35" s="10">
        <v>1.19</v>
      </c>
    </row>
    <row r="36" spans="1:12" x14ac:dyDescent="0.25">
      <c r="A36" s="8" t="s">
        <v>237</v>
      </c>
      <c r="B36" s="8" t="s">
        <v>60</v>
      </c>
      <c r="C36" s="8">
        <v>2</v>
      </c>
      <c r="D36" s="8" t="s">
        <v>393</v>
      </c>
      <c r="E36" s="8" t="s">
        <v>15</v>
      </c>
      <c r="F36" s="8" t="s">
        <v>318</v>
      </c>
      <c r="G36" s="17">
        <v>0</v>
      </c>
      <c r="H36" s="17">
        <v>0.8</v>
      </c>
      <c r="I36" s="10">
        <v>12</v>
      </c>
      <c r="J36" s="10">
        <v>6.4</v>
      </c>
      <c r="K36" s="10">
        <v>6.3</v>
      </c>
      <c r="L36" s="10">
        <v>0.4</v>
      </c>
    </row>
    <row r="37" spans="1:12" x14ac:dyDescent="0.25">
      <c r="A37" s="8" t="s">
        <v>238</v>
      </c>
      <c r="B37" s="8" t="s">
        <v>60</v>
      </c>
      <c r="C37" s="8">
        <v>3</v>
      </c>
      <c r="D37" s="8" t="s">
        <v>391</v>
      </c>
      <c r="E37" s="8" t="s">
        <v>15</v>
      </c>
      <c r="F37" s="8" t="s">
        <v>318</v>
      </c>
      <c r="G37" s="17">
        <v>0.25</v>
      </c>
      <c r="H37" s="17">
        <v>0</v>
      </c>
      <c r="I37" s="10">
        <v>18.899999999999999</v>
      </c>
      <c r="J37" s="10">
        <v>13.6</v>
      </c>
      <c r="K37" s="10">
        <v>6.4</v>
      </c>
      <c r="L37" s="10">
        <v>1.46</v>
      </c>
    </row>
    <row r="38" spans="1:12" x14ac:dyDescent="0.25">
      <c r="A38" s="8" t="s">
        <v>131</v>
      </c>
      <c r="B38" s="8" t="s">
        <v>60</v>
      </c>
      <c r="C38" s="8">
        <v>3</v>
      </c>
      <c r="D38" s="8" t="s">
        <v>391</v>
      </c>
      <c r="E38" s="8" t="s">
        <v>15</v>
      </c>
      <c r="F38" s="8" t="s">
        <v>318</v>
      </c>
      <c r="G38" s="17">
        <v>0.3</v>
      </c>
      <c r="H38" s="17">
        <v>0.4</v>
      </c>
      <c r="I38" s="10">
        <v>32.5</v>
      </c>
      <c r="J38" s="10">
        <v>24.2</v>
      </c>
      <c r="K38" s="10">
        <v>15</v>
      </c>
      <c r="L38" s="10">
        <v>16.98</v>
      </c>
    </row>
    <row r="39" spans="1:12" x14ac:dyDescent="0.25">
      <c r="A39" s="8" t="s">
        <v>132</v>
      </c>
      <c r="B39" s="8" t="s">
        <v>60</v>
      </c>
      <c r="C39" s="8">
        <v>3</v>
      </c>
      <c r="D39" s="8" t="s">
        <v>392</v>
      </c>
      <c r="E39" s="8" t="s">
        <v>15</v>
      </c>
      <c r="F39" s="8" t="s">
        <v>318</v>
      </c>
      <c r="G39" s="17">
        <v>0</v>
      </c>
      <c r="H39" s="17">
        <v>0.3</v>
      </c>
      <c r="I39" s="10">
        <v>26.2</v>
      </c>
      <c r="J39" s="10">
        <v>10.3</v>
      </c>
      <c r="K39" s="10">
        <v>5.3</v>
      </c>
      <c r="L39" s="10">
        <v>1.45</v>
      </c>
    </row>
    <row r="40" spans="1:12" x14ac:dyDescent="0.25">
      <c r="A40" s="8" t="s">
        <v>133</v>
      </c>
      <c r="B40" s="8" t="s">
        <v>60</v>
      </c>
      <c r="C40" s="8">
        <v>3</v>
      </c>
      <c r="D40" s="8" t="s">
        <v>402</v>
      </c>
      <c r="E40" s="8" t="s">
        <v>21</v>
      </c>
      <c r="F40" s="8" t="s">
        <v>318</v>
      </c>
      <c r="G40" s="17">
        <v>0.2</v>
      </c>
      <c r="H40" s="17">
        <v>0.05</v>
      </c>
      <c r="I40" s="10">
        <v>24.5</v>
      </c>
      <c r="J40" s="10">
        <v>15.5</v>
      </c>
      <c r="K40" s="10">
        <v>9.1</v>
      </c>
      <c r="L40" s="10">
        <v>1.77</v>
      </c>
    </row>
    <row r="41" spans="1:12" x14ac:dyDescent="0.25">
      <c r="A41" s="8" t="s">
        <v>134</v>
      </c>
      <c r="B41" s="8" t="s">
        <v>60</v>
      </c>
      <c r="C41" s="8">
        <v>3</v>
      </c>
      <c r="D41" s="8" t="s">
        <v>394</v>
      </c>
      <c r="E41" s="8" t="s">
        <v>15</v>
      </c>
      <c r="F41" s="8" t="s">
        <v>318</v>
      </c>
      <c r="G41" s="17">
        <v>0.2</v>
      </c>
      <c r="H41" s="17">
        <v>0</v>
      </c>
      <c r="I41" s="10">
        <v>26.8</v>
      </c>
      <c r="J41" s="10">
        <v>15.6</v>
      </c>
      <c r="K41" s="10">
        <v>7.3</v>
      </c>
      <c r="L41" s="10">
        <v>2.34</v>
      </c>
    </row>
    <row r="42" spans="1:12" x14ac:dyDescent="0.25">
      <c r="A42" s="8" t="s">
        <v>201</v>
      </c>
      <c r="B42" s="8" t="s">
        <v>60</v>
      </c>
      <c r="C42" s="8">
        <v>3</v>
      </c>
      <c r="D42" s="8" t="s">
        <v>393</v>
      </c>
      <c r="E42" s="8" t="s">
        <v>15</v>
      </c>
      <c r="F42" s="8" t="s">
        <v>318</v>
      </c>
      <c r="G42" s="17">
        <v>0</v>
      </c>
      <c r="H42" s="17">
        <v>0.7</v>
      </c>
      <c r="I42" s="10">
        <v>38.5</v>
      </c>
      <c r="J42" s="10">
        <v>19.399999999999999</v>
      </c>
      <c r="K42" s="10">
        <v>14.6</v>
      </c>
      <c r="L42" s="10">
        <v>13</v>
      </c>
    </row>
    <row r="43" spans="1:12" x14ac:dyDescent="0.25">
      <c r="A43" s="8" t="s">
        <v>239</v>
      </c>
      <c r="B43" s="8" t="s">
        <v>60</v>
      </c>
      <c r="C43" s="8">
        <v>3</v>
      </c>
      <c r="D43" s="8" t="s">
        <v>391</v>
      </c>
      <c r="E43" s="8" t="s">
        <v>15</v>
      </c>
      <c r="F43" s="8" t="s">
        <v>318</v>
      </c>
      <c r="G43" s="17">
        <v>0.5</v>
      </c>
      <c r="H43" s="17">
        <v>0</v>
      </c>
      <c r="I43" s="10">
        <v>35.5</v>
      </c>
      <c r="J43" s="10">
        <v>18.899999999999999</v>
      </c>
      <c r="K43" s="10">
        <v>17.3</v>
      </c>
      <c r="L43" s="10">
        <v>10.41</v>
      </c>
    </row>
    <row r="44" spans="1:12" x14ac:dyDescent="0.25">
      <c r="A44" s="8" t="s">
        <v>123</v>
      </c>
      <c r="B44" s="8" t="s">
        <v>60</v>
      </c>
      <c r="C44" s="8">
        <v>3</v>
      </c>
      <c r="D44" s="8" t="s">
        <v>393</v>
      </c>
      <c r="E44" s="8" t="s">
        <v>15</v>
      </c>
      <c r="F44" s="8" t="s">
        <v>318</v>
      </c>
      <c r="G44" s="17">
        <v>0</v>
      </c>
      <c r="H44" s="17">
        <v>0</v>
      </c>
      <c r="I44" s="10">
        <v>19.5</v>
      </c>
      <c r="J44" s="10">
        <v>12.9</v>
      </c>
      <c r="K44" s="10">
        <v>4.0999999999999996</v>
      </c>
      <c r="L44" s="10">
        <v>1.02</v>
      </c>
    </row>
    <row r="45" spans="1:12" x14ac:dyDescent="0.25">
      <c r="A45" s="8" t="s">
        <v>125</v>
      </c>
      <c r="B45" s="8" t="s">
        <v>60</v>
      </c>
      <c r="C45" s="8">
        <v>3</v>
      </c>
      <c r="D45" s="8" t="s">
        <v>402</v>
      </c>
      <c r="E45" s="8" t="s">
        <v>15</v>
      </c>
      <c r="F45" s="8" t="s">
        <v>318</v>
      </c>
      <c r="G45" s="17">
        <v>0</v>
      </c>
      <c r="H45" s="17">
        <v>0</v>
      </c>
      <c r="I45" s="10">
        <v>12</v>
      </c>
      <c r="J45" s="10">
        <v>7.7</v>
      </c>
      <c r="K45" s="10">
        <v>1.7</v>
      </c>
      <c r="L45" s="10">
        <v>0.12</v>
      </c>
    </row>
    <row r="46" spans="1:12" x14ac:dyDescent="0.25">
      <c r="A46" s="8" t="s">
        <v>135</v>
      </c>
      <c r="B46" s="8" t="s">
        <v>60</v>
      </c>
      <c r="C46" s="8">
        <v>3</v>
      </c>
      <c r="D46" s="8" t="s">
        <v>393</v>
      </c>
      <c r="E46" s="8" t="s">
        <v>15</v>
      </c>
      <c r="F46" s="8" t="s">
        <v>318</v>
      </c>
      <c r="G46" s="17">
        <v>0</v>
      </c>
      <c r="H46" s="17">
        <v>0.35</v>
      </c>
      <c r="I46" s="10">
        <v>11</v>
      </c>
      <c r="J46" s="10">
        <v>8.4</v>
      </c>
      <c r="K46" s="10">
        <v>3</v>
      </c>
      <c r="L46" s="10">
        <v>0.28000000000000003</v>
      </c>
    </row>
    <row r="47" spans="1:12" x14ac:dyDescent="0.25">
      <c r="A47" s="8" t="s">
        <v>136</v>
      </c>
      <c r="B47" s="8" t="s">
        <v>60</v>
      </c>
      <c r="C47" s="8">
        <v>3</v>
      </c>
      <c r="D47" s="8" t="s">
        <v>392</v>
      </c>
      <c r="E47" s="8" t="s">
        <v>21</v>
      </c>
      <c r="F47" s="8" t="s">
        <v>318</v>
      </c>
      <c r="G47" s="17">
        <v>0</v>
      </c>
      <c r="H47" s="17">
        <v>0</v>
      </c>
      <c r="I47" s="10">
        <v>16.8</v>
      </c>
      <c r="J47" s="10">
        <v>10.6</v>
      </c>
      <c r="K47" s="10">
        <v>6.3</v>
      </c>
      <c r="L47" s="10">
        <v>1.08</v>
      </c>
    </row>
    <row r="48" spans="1:12" x14ac:dyDescent="0.25">
      <c r="A48" s="8" t="s">
        <v>240</v>
      </c>
      <c r="B48" s="8" t="s">
        <v>60</v>
      </c>
      <c r="C48" s="8">
        <v>3</v>
      </c>
      <c r="D48" s="8" t="s">
        <v>391</v>
      </c>
      <c r="E48" s="8" t="s">
        <v>15</v>
      </c>
      <c r="F48" s="8" t="s">
        <v>318</v>
      </c>
      <c r="G48" s="17">
        <v>0</v>
      </c>
      <c r="H48" s="17">
        <v>0</v>
      </c>
      <c r="I48" s="10">
        <v>41.2</v>
      </c>
      <c r="J48" s="10">
        <v>24.4</v>
      </c>
      <c r="K48" s="10">
        <v>14.7</v>
      </c>
      <c r="L48" s="10">
        <v>11.82</v>
      </c>
    </row>
    <row r="49" spans="1:12" x14ac:dyDescent="0.25">
      <c r="A49" s="8" t="s">
        <v>241</v>
      </c>
      <c r="B49" s="8" t="s">
        <v>60</v>
      </c>
      <c r="C49" s="8">
        <v>3</v>
      </c>
      <c r="D49" s="8" t="s">
        <v>391</v>
      </c>
      <c r="E49" s="8" t="s">
        <v>21</v>
      </c>
      <c r="F49" s="8" t="s">
        <v>318</v>
      </c>
      <c r="G49" s="17">
        <v>0</v>
      </c>
      <c r="H49" s="17">
        <v>0</v>
      </c>
      <c r="I49" s="10">
        <v>30.9</v>
      </c>
      <c r="J49" s="10">
        <v>26.7</v>
      </c>
      <c r="K49" s="10">
        <v>12.7</v>
      </c>
      <c r="L49" s="10">
        <v>6.43</v>
      </c>
    </row>
    <row r="50" spans="1:12" x14ac:dyDescent="0.25">
      <c r="A50" s="8" t="s">
        <v>242</v>
      </c>
      <c r="B50" s="8" t="s">
        <v>60</v>
      </c>
      <c r="C50" s="8">
        <v>3</v>
      </c>
      <c r="D50" s="8" t="s">
        <v>394</v>
      </c>
      <c r="E50" s="8" t="s">
        <v>15</v>
      </c>
      <c r="F50" s="8" t="s">
        <v>318</v>
      </c>
      <c r="G50" s="17">
        <v>0.6</v>
      </c>
      <c r="H50" s="17">
        <v>0.05</v>
      </c>
      <c r="I50" s="10">
        <v>77</v>
      </c>
      <c r="J50" s="10">
        <v>35.700000000000003</v>
      </c>
      <c r="K50" s="10">
        <v>37.9</v>
      </c>
      <c r="L50" s="10">
        <v>84.58</v>
      </c>
    </row>
    <row r="51" spans="1:12" x14ac:dyDescent="0.25">
      <c r="A51" s="8" t="s">
        <v>52</v>
      </c>
      <c r="B51" s="8" t="s">
        <v>60</v>
      </c>
      <c r="C51" s="8">
        <v>3</v>
      </c>
      <c r="D51" s="8" t="s">
        <v>392</v>
      </c>
      <c r="E51" s="8" t="s">
        <v>15</v>
      </c>
      <c r="F51" s="8" t="s">
        <v>318</v>
      </c>
      <c r="G51" s="17">
        <v>0.45</v>
      </c>
      <c r="H51" s="17">
        <v>0</v>
      </c>
      <c r="I51" s="10">
        <v>17.8</v>
      </c>
      <c r="J51" s="10">
        <v>12.5</v>
      </c>
      <c r="K51" s="10">
        <v>1.9</v>
      </c>
      <c r="L51" s="10">
        <v>0.4</v>
      </c>
    </row>
    <row r="52" spans="1:12" x14ac:dyDescent="0.25">
      <c r="A52" s="8" t="s">
        <v>141</v>
      </c>
      <c r="B52" s="8" t="s">
        <v>60</v>
      </c>
      <c r="C52" s="8">
        <v>3</v>
      </c>
      <c r="D52" s="8" t="s">
        <v>392</v>
      </c>
      <c r="E52" s="8" t="s">
        <v>15</v>
      </c>
      <c r="F52" s="8" t="s">
        <v>318</v>
      </c>
      <c r="G52" s="17">
        <v>0.5</v>
      </c>
      <c r="H52" s="17">
        <v>0.2</v>
      </c>
      <c r="I52" s="10">
        <v>20.6</v>
      </c>
      <c r="J52" s="10">
        <v>7.6</v>
      </c>
      <c r="K52" s="10">
        <v>7.2</v>
      </c>
      <c r="L52" s="10">
        <v>1.19</v>
      </c>
    </row>
    <row r="53" spans="1:12" x14ac:dyDescent="0.25">
      <c r="A53" s="8" t="s">
        <v>243</v>
      </c>
      <c r="B53" s="8" t="s">
        <v>60</v>
      </c>
      <c r="C53" s="8">
        <v>3</v>
      </c>
      <c r="D53" s="8" t="s">
        <v>392</v>
      </c>
      <c r="E53" s="8" t="s">
        <v>15</v>
      </c>
      <c r="F53" s="8" t="s">
        <v>318</v>
      </c>
      <c r="G53" s="17">
        <v>0</v>
      </c>
      <c r="H53" s="17">
        <v>0</v>
      </c>
      <c r="I53" s="10">
        <v>26.2</v>
      </c>
      <c r="J53" s="10">
        <v>11.9</v>
      </c>
      <c r="K53" s="10">
        <v>3.9</v>
      </c>
      <c r="L53" s="10">
        <v>0.89</v>
      </c>
    </row>
    <row r="54" spans="1:12" x14ac:dyDescent="0.25">
      <c r="A54" s="8" t="s">
        <v>142</v>
      </c>
      <c r="B54" s="8" t="s">
        <v>60</v>
      </c>
      <c r="C54" s="8">
        <v>3</v>
      </c>
      <c r="D54" s="8" t="s">
        <v>391</v>
      </c>
      <c r="E54" s="8" t="s">
        <v>21</v>
      </c>
      <c r="F54" s="8" t="s">
        <v>318</v>
      </c>
      <c r="G54" s="17">
        <v>0.1</v>
      </c>
      <c r="H54" s="17">
        <v>0</v>
      </c>
      <c r="I54" s="10">
        <v>25.9</v>
      </c>
      <c r="J54" s="10">
        <v>14.6</v>
      </c>
      <c r="K54" s="10">
        <v>5.2</v>
      </c>
      <c r="L54" s="10">
        <v>2.11</v>
      </c>
    </row>
    <row r="55" spans="1:12" x14ac:dyDescent="0.25">
      <c r="A55" s="8" t="s">
        <v>203</v>
      </c>
      <c r="B55" s="8" t="s">
        <v>60</v>
      </c>
      <c r="C55" s="8">
        <v>3</v>
      </c>
      <c r="D55" s="8" t="s">
        <v>392</v>
      </c>
      <c r="E55" s="8" t="s">
        <v>15</v>
      </c>
      <c r="F55" s="8" t="s">
        <v>318</v>
      </c>
      <c r="G55" s="17">
        <v>0.35</v>
      </c>
      <c r="H55" s="17">
        <v>0.3</v>
      </c>
      <c r="I55" s="10">
        <v>32.4</v>
      </c>
      <c r="J55" s="10">
        <v>27.4</v>
      </c>
      <c r="K55" s="10">
        <v>18.100000000000001</v>
      </c>
      <c r="L55" s="10">
        <v>14.58</v>
      </c>
    </row>
    <row r="56" spans="1:12" x14ac:dyDescent="0.25">
      <c r="A56" s="8" t="s">
        <v>127</v>
      </c>
      <c r="B56" s="8" t="s">
        <v>61</v>
      </c>
      <c r="C56" s="8">
        <v>2</v>
      </c>
      <c r="D56" s="8" t="s">
        <v>394</v>
      </c>
      <c r="E56" s="8" t="s">
        <v>15</v>
      </c>
      <c r="F56" s="8" t="s">
        <v>318</v>
      </c>
      <c r="G56" s="17">
        <v>1</v>
      </c>
      <c r="H56" s="17">
        <v>0</v>
      </c>
      <c r="I56" s="10">
        <v>95</v>
      </c>
      <c r="J56" s="10">
        <v>69.8</v>
      </c>
      <c r="K56" s="10">
        <v>37.799999999999997</v>
      </c>
      <c r="L56" s="10">
        <v>395.62</v>
      </c>
    </row>
    <row r="57" spans="1:12" x14ac:dyDescent="0.25">
      <c r="A57" s="8" t="s">
        <v>129</v>
      </c>
      <c r="B57" s="8" t="s">
        <v>61</v>
      </c>
      <c r="C57" s="8">
        <v>2</v>
      </c>
      <c r="D57" s="8" t="s">
        <v>392</v>
      </c>
      <c r="E57" s="8" t="s">
        <v>15</v>
      </c>
      <c r="F57" s="8" t="s">
        <v>318</v>
      </c>
      <c r="G57" s="17">
        <v>0.55000000000000004</v>
      </c>
      <c r="H57" s="17">
        <v>0.15</v>
      </c>
      <c r="I57" s="10">
        <v>50.9</v>
      </c>
      <c r="J57" s="10">
        <v>24</v>
      </c>
      <c r="K57" s="10">
        <v>20.9</v>
      </c>
      <c r="L57" s="10">
        <v>17.27</v>
      </c>
    </row>
    <row r="58" spans="1:12" x14ac:dyDescent="0.25">
      <c r="A58" s="8" t="s">
        <v>108</v>
      </c>
      <c r="B58" s="8" t="s">
        <v>61</v>
      </c>
      <c r="C58" s="8">
        <v>3</v>
      </c>
      <c r="D58" s="8" t="s">
        <v>391</v>
      </c>
      <c r="E58" s="8" t="s">
        <v>15</v>
      </c>
      <c r="F58" s="8" t="s">
        <v>318</v>
      </c>
      <c r="G58" s="17">
        <v>0.45</v>
      </c>
      <c r="H58" s="17">
        <v>0.2</v>
      </c>
      <c r="I58" s="10">
        <v>51.6</v>
      </c>
      <c r="J58" s="10">
        <v>34.4</v>
      </c>
      <c r="K58" s="10">
        <v>20.100000000000001</v>
      </c>
      <c r="L58" s="10">
        <v>23.94</v>
      </c>
    </row>
    <row r="59" spans="1:12" x14ac:dyDescent="0.25">
      <c r="A59" s="8" t="s">
        <v>239</v>
      </c>
      <c r="B59" s="8" t="s">
        <v>61</v>
      </c>
      <c r="C59" s="8">
        <v>3</v>
      </c>
      <c r="D59" s="8" t="s">
        <v>392</v>
      </c>
      <c r="E59" s="8" t="s">
        <v>21</v>
      </c>
      <c r="F59" s="8" t="s">
        <v>318</v>
      </c>
      <c r="G59" s="17">
        <v>0.7</v>
      </c>
      <c r="H59" s="17">
        <v>0.1</v>
      </c>
      <c r="I59" s="10">
        <v>71.5</v>
      </c>
      <c r="J59" s="10">
        <v>39</v>
      </c>
      <c r="K59" s="10">
        <v>24.2</v>
      </c>
      <c r="L59" s="10">
        <v>79.72</v>
      </c>
    </row>
    <row r="60" spans="1:12" x14ac:dyDescent="0.25">
      <c r="A60" s="8" t="s">
        <v>244</v>
      </c>
      <c r="B60" s="8" t="s">
        <v>61</v>
      </c>
      <c r="C60" s="8">
        <v>3</v>
      </c>
      <c r="D60" s="8" t="s">
        <v>392</v>
      </c>
      <c r="E60" s="8" t="s">
        <v>15</v>
      </c>
      <c r="F60" s="8" t="s">
        <v>318</v>
      </c>
      <c r="G60" s="17">
        <v>0.1</v>
      </c>
      <c r="H60" s="17">
        <v>0</v>
      </c>
      <c r="I60" s="10">
        <v>56.2</v>
      </c>
      <c r="J60" s="10">
        <v>31.7</v>
      </c>
      <c r="K60" s="10">
        <v>20.7</v>
      </c>
      <c r="L60" s="10">
        <v>27.58</v>
      </c>
    </row>
    <row r="61" spans="1:12" x14ac:dyDescent="0.25">
      <c r="A61" s="8" t="s">
        <v>109</v>
      </c>
      <c r="B61" s="8" t="s">
        <v>61</v>
      </c>
      <c r="C61" s="8">
        <v>3</v>
      </c>
      <c r="D61" s="8" t="s">
        <v>392</v>
      </c>
      <c r="E61" s="8" t="s">
        <v>15</v>
      </c>
      <c r="F61" s="8" t="s">
        <v>318</v>
      </c>
      <c r="G61" s="17">
        <v>0.15</v>
      </c>
      <c r="H61" s="17">
        <v>0.02</v>
      </c>
      <c r="I61" s="10">
        <v>36.5</v>
      </c>
      <c r="J61" s="10">
        <v>13.7</v>
      </c>
      <c r="K61" s="10">
        <v>8</v>
      </c>
      <c r="L61" s="10">
        <v>2.7</v>
      </c>
    </row>
    <row r="62" spans="1:12" x14ac:dyDescent="0.25">
      <c r="A62" s="8" t="s">
        <v>47</v>
      </c>
      <c r="B62" s="8" t="s">
        <v>61</v>
      </c>
      <c r="C62" s="8">
        <v>3</v>
      </c>
      <c r="D62" s="8" t="s">
        <v>392</v>
      </c>
      <c r="E62" s="8" t="s">
        <v>21</v>
      </c>
      <c r="F62" s="8" t="s">
        <v>318</v>
      </c>
      <c r="G62" s="17">
        <v>0.3</v>
      </c>
      <c r="H62" s="17">
        <v>0.35</v>
      </c>
      <c r="I62" s="10">
        <v>26.3</v>
      </c>
      <c r="J62" s="10">
        <v>25.8</v>
      </c>
      <c r="K62" s="10">
        <v>15.1</v>
      </c>
      <c r="L62" s="10">
        <v>6.16</v>
      </c>
    </row>
    <row r="63" spans="1:12" x14ac:dyDescent="0.25">
      <c r="A63" s="8" t="s">
        <v>112</v>
      </c>
      <c r="B63" s="8" t="s">
        <v>61</v>
      </c>
      <c r="C63" s="8">
        <v>3</v>
      </c>
      <c r="D63" s="8" t="s">
        <v>391</v>
      </c>
      <c r="E63" s="8" t="s">
        <v>15</v>
      </c>
      <c r="F63" s="8" t="s">
        <v>318</v>
      </c>
      <c r="G63" s="17">
        <v>0</v>
      </c>
      <c r="H63" s="17">
        <v>0</v>
      </c>
      <c r="I63" s="10">
        <v>23.2</v>
      </c>
      <c r="J63" s="10">
        <v>20.5</v>
      </c>
      <c r="K63" s="10">
        <v>6.8</v>
      </c>
      <c r="L63" s="10">
        <v>2.98</v>
      </c>
    </row>
    <row r="64" spans="1:12" x14ac:dyDescent="0.25">
      <c r="A64" s="8" t="s">
        <v>240</v>
      </c>
      <c r="B64" s="8" t="s">
        <v>61</v>
      </c>
      <c r="C64" s="8">
        <v>3</v>
      </c>
      <c r="D64" s="8" t="s">
        <v>391</v>
      </c>
      <c r="E64" s="8" t="s">
        <v>21</v>
      </c>
      <c r="F64" s="8" t="s">
        <v>318</v>
      </c>
      <c r="G64" s="17">
        <v>0</v>
      </c>
      <c r="H64" s="17">
        <v>0</v>
      </c>
      <c r="I64" s="10">
        <v>29</v>
      </c>
      <c r="J64" s="10">
        <v>25.5</v>
      </c>
      <c r="K64" s="10">
        <v>4</v>
      </c>
      <c r="L64" s="10">
        <v>2.19</v>
      </c>
    </row>
    <row r="65" spans="1:12" x14ac:dyDescent="0.25">
      <c r="A65" s="8" t="s">
        <v>113</v>
      </c>
      <c r="B65" s="8" t="s">
        <v>61</v>
      </c>
      <c r="C65" s="8">
        <v>3</v>
      </c>
      <c r="D65" s="8" t="s">
        <v>396</v>
      </c>
      <c r="E65" s="8" t="s">
        <v>21</v>
      </c>
      <c r="F65" s="8" t="s">
        <v>318</v>
      </c>
      <c r="G65" s="17">
        <v>0.1</v>
      </c>
      <c r="H65" s="17">
        <v>0.9</v>
      </c>
      <c r="I65" s="10">
        <v>32.700000000000003</v>
      </c>
      <c r="J65" s="10">
        <v>23.5</v>
      </c>
      <c r="K65" s="10">
        <v>7.2</v>
      </c>
      <c r="L65" s="10">
        <v>4.34</v>
      </c>
    </row>
    <row r="66" spans="1:12" x14ac:dyDescent="0.25">
      <c r="A66" s="8" t="s">
        <v>245</v>
      </c>
      <c r="B66" s="8" t="s">
        <v>61</v>
      </c>
      <c r="C66" s="8">
        <v>3</v>
      </c>
      <c r="D66" s="8" t="s">
        <v>391</v>
      </c>
      <c r="E66" s="8" t="s">
        <v>21</v>
      </c>
      <c r="F66" s="8" t="s">
        <v>318</v>
      </c>
      <c r="G66" s="17">
        <v>0.15</v>
      </c>
      <c r="H66" s="17">
        <v>0</v>
      </c>
      <c r="I66" s="10">
        <v>22</v>
      </c>
      <c r="J66" s="10">
        <v>9.1999999999999993</v>
      </c>
      <c r="K66" s="10">
        <v>5.7</v>
      </c>
      <c r="L66" s="10">
        <v>0.93</v>
      </c>
    </row>
    <row r="67" spans="1:12" x14ac:dyDescent="0.25">
      <c r="A67" s="8" t="s">
        <v>241</v>
      </c>
      <c r="B67" s="8" t="s">
        <v>61</v>
      </c>
      <c r="C67" s="8">
        <v>3</v>
      </c>
      <c r="D67" s="8" t="s">
        <v>391</v>
      </c>
      <c r="E67" s="8" t="s">
        <v>15</v>
      </c>
      <c r="F67" s="8" t="s">
        <v>318</v>
      </c>
      <c r="G67" s="17">
        <v>0</v>
      </c>
      <c r="H67" s="17">
        <v>0.35</v>
      </c>
      <c r="I67" s="10">
        <v>21.1</v>
      </c>
      <c r="J67" s="10">
        <v>14.4</v>
      </c>
      <c r="K67" s="10">
        <v>8.3000000000000007</v>
      </c>
      <c r="L67" s="10">
        <v>1.44</v>
      </c>
    </row>
    <row r="68" spans="1:12" x14ac:dyDescent="0.25">
      <c r="A68" s="8" t="s">
        <v>246</v>
      </c>
      <c r="B68" s="8" t="s">
        <v>61</v>
      </c>
      <c r="C68" s="8">
        <v>3</v>
      </c>
      <c r="D68" s="8" t="s">
        <v>402</v>
      </c>
      <c r="E68" s="8" t="s">
        <v>15</v>
      </c>
      <c r="F68" s="8" t="s">
        <v>318</v>
      </c>
      <c r="G68" s="17">
        <v>0</v>
      </c>
      <c r="H68" s="17">
        <v>0.3</v>
      </c>
      <c r="I68" s="10">
        <v>26.9</v>
      </c>
      <c r="J68" s="10">
        <v>13.8</v>
      </c>
      <c r="K68" s="10">
        <v>10</v>
      </c>
      <c r="L68" s="10">
        <v>2.35</v>
      </c>
    </row>
    <row r="69" spans="1:12" x14ac:dyDescent="0.25">
      <c r="A69" s="8" t="s">
        <v>242</v>
      </c>
      <c r="B69" s="8" t="s">
        <v>61</v>
      </c>
      <c r="C69" s="8">
        <v>3</v>
      </c>
      <c r="D69" s="8" t="s">
        <v>392</v>
      </c>
      <c r="E69" s="8" t="s">
        <v>21</v>
      </c>
      <c r="F69" s="8" t="s">
        <v>318</v>
      </c>
      <c r="G69" s="17">
        <v>0</v>
      </c>
      <c r="H69" s="17">
        <v>0.1</v>
      </c>
      <c r="I69" s="10">
        <v>29.8</v>
      </c>
      <c r="J69" s="10">
        <v>25</v>
      </c>
      <c r="K69" s="10">
        <v>8.6999999999999993</v>
      </c>
      <c r="L69" s="10">
        <v>6.26</v>
      </c>
    </row>
    <row r="70" spans="1:12" x14ac:dyDescent="0.25">
      <c r="A70" s="8" t="s">
        <v>117</v>
      </c>
      <c r="B70" s="8" t="s">
        <v>61</v>
      </c>
      <c r="C70" s="8">
        <v>3</v>
      </c>
      <c r="D70" s="8" t="s">
        <v>392</v>
      </c>
      <c r="E70" s="8" t="s">
        <v>21</v>
      </c>
      <c r="F70" s="8" t="s">
        <v>318</v>
      </c>
      <c r="G70" s="17">
        <v>0</v>
      </c>
      <c r="H70" s="17">
        <v>0.7</v>
      </c>
      <c r="I70" s="10">
        <v>50.3</v>
      </c>
      <c r="J70" s="10">
        <v>22.7</v>
      </c>
      <c r="K70" s="10">
        <v>15.1</v>
      </c>
      <c r="L70" s="10">
        <v>14.72</v>
      </c>
    </row>
    <row r="71" spans="1:12" x14ac:dyDescent="0.25">
      <c r="A71" s="8" t="s">
        <v>118</v>
      </c>
      <c r="B71" s="8" t="s">
        <v>61</v>
      </c>
      <c r="C71" s="8">
        <v>3</v>
      </c>
      <c r="D71" s="8" t="s">
        <v>393</v>
      </c>
      <c r="E71" s="8" t="s">
        <v>15</v>
      </c>
      <c r="F71" s="8" t="s">
        <v>318</v>
      </c>
      <c r="G71" s="17">
        <v>0</v>
      </c>
      <c r="H71" s="17">
        <v>0.05</v>
      </c>
      <c r="I71" s="10">
        <v>18.7</v>
      </c>
      <c r="J71" s="10">
        <v>12.4</v>
      </c>
      <c r="K71" s="10">
        <v>5</v>
      </c>
      <c r="L71" s="10">
        <v>1.0900000000000001</v>
      </c>
    </row>
    <row r="72" spans="1:12" x14ac:dyDescent="0.25">
      <c r="A72" s="8" t="s">
        <v>243</v>
      </c>
      <c r="B72" s="8" t="s">
        <v>61</v>
      </c>
      <c r="C72" s="8">
        <v>3</v>
      </c>
      <c r="D72" s="8" t="s">
        <v>402</v>
      </c>
      <c r="E72" s="8" t="s">
        <v>15</v>
      </c>
      <c r="F72" s="8" t="s">
        <v>318</v>
      </c>
      <c r="G72" s="17">
        <v>0.3</v>
      </c>
      <c r="H72" s="17">
        <v>0.3</v>
      </c>
      <c r="I72" s="10">
        <v>36</v>
      </c>
      <c r="J72" s="10">
        <v>26.4</v>
      </c>
      <c r="K72" s="10">
        <v>17.100000000000001</v>
      </c>
      <c r="L72" s="10">
        <v>13.1</v>
      </c>
    </row>
    <row r="73" spans="1:12" x14ac:dyDescent="0.25">
      <c r="A73" s="8" t="s">
        <v>119</v>
      </c>
      <c r="B73" s="8" t="s">
        <v>61</v>
      </c>
      <c r="C73" s="8">
        <v>3</v>
      </c>
      <c r="D73" s="8" t="s">
        <v>402</v>
      </c>
      <c r="E73" s="8" t="s">
        <v>15</v>
      </c>
      <c r="F73" s="8" t="s">
        <v>318</v>
      </c>
      <c r="G73" s="17">
        <v>0.35</v>
      </c>
      <c r="H73" s="17">
        <v>0.2</v>
      </c>
      <c r="I73" s="10">
        <v>21.3</v>
      </c>
      <c r="J73" s="10">
        <v>12.3</v>
      </c>
      <c r="K73" s="10">
        <v>9.3000000000000007</v>
      </c>
      <c r="L73" s="10">
        <v>1.89</v>
      </c>
    </row>
    <row r="74" spans="1:12" x14ac:dyDescent="0.25">
      <c r="A74" s="8" t="s">
        <v>120</v>
      </c>
      <c r="B74" s="8" t="s">
        <v>61</v>
      </c>
      <c r="C74" s="8">
        <v>3</v>
      </c>
      <c r="D74" s="8" t="s">
        <v>392</v>
      </c>
      <c r="E74" s="8" t="s">
        <v>403</v>
      </c>
      <c r="F74" s="8" t="s">
        <v>318</v>
      </c>
      <c r="G74" s="17">
        <v>0</v>
      </c>
      <c r="H74" s="17">
        <v>0</v>
      </c>
      <c r="I74" s="10">
        <v>19.2</v>
      </c>
      <c r="J74" s="10">
        <v>14.2</v>
      </c>
      <c r="K74" s="10">
        <v>5.8</v>
      </c>
      <c r="L74" s="10">
        <v>1.52</v>
      </c>
    </row>
    <row r="75" spans="1:12" x14ac:dyDescent="0.25">
      <c r="A75" s="8" t="s">
        <v>200</v>
      </c>
      <c r="B75" s="8" t="s">
        <v>61</v>
      </c>
      <c r="C75" s="8">
        <v>3</v>
      </c>
      <c r="D75" s="8" t="s">
        <v>391</v>
      </c>
      <c r="E75" s="8" t="s">
        <v>15</v>
      </c>
      <c r="F75" s="8" t="s">
        <v>318</v>
      </c>
      <c r="G75" s="17">
        <v>0</v>
      </c>
      <c r="H75" s="17">
        <v>0</v>
      </c>
      <c r="I75" s="10">
        <v>23.2</v>
      </c>
      <c r="J75" s="10">
        <v>12.6</v>
      </c>
      <c r="K75" s="10">
        <v>5.6</v>
      </c>
      <c r="L75" s="10">
        <v>1.37</v>
      </c>
    </row>
    <row r="76" spans="1:12" x14ac:dyDescent="0.25">
      <c r="A76" s="8" t="s">
        <v>122</v>
      </c>
      <c r="B76" s="8" t="s">
        <v>61</v>
      </c>
      <c r="C76" s="8">
        <v>3</v>
      </c>
      <c r="D76" s="8" t="s">
        <v>391</v>
      </c>
      <c r="E76" s="8" t="s">
        <v>15</v>
      </c>
      <c r="F76" s="8" t="s">
        <v>318</v>
      </c>
      <c r="G76" s="17">
        <v>0.4</v>
      </c>
      <c r="H76" s="17">
        <v>0</v>
      </c>
      <c r="I76" s="10">
        <v>25.1</v>
      </c>
      <c r="J76" s="10">
        <v>17.100000000000001</v>
      </c>
      <c r="K76" s="10">
        <v>13.2</v>
      </c>
      <c r="L76" s="10">
        <v>2.93</v>
      </c>
    </row>
    <row r="77" spans="1:12" x14ac:dyDescent="0.25">
      <c r="A77" s="8" t="s">
        <v>247</v>
      </c>
      <c r="B77" s="8" t="s">
        <v>61</v>
      </c>
      <c r="C77" s="8">
        <v>3</v>
      </c>
      <c r="D77" s="8" t="s">
        <v>402</v>
      </c>
      <c r="E77" s="8" t="s">
        <v>15</v>
      </c>
      <c r="F77" s="8" t="s">
        <v>318</v>
      </c>
      <c r="G77" s="17">
        <v>0</v>
      </c>
      <c r="H77" s="17">
        <v>0</v>
      </c>
      <c r="I77" s="10">
        <v>17.399999999999999</v>
      </c>
      <c r="J77" s="10">
        <v>7.7</v>
      </c>
      <c r="K77" s="10">
        <v>1.2</v>
      </c>
      <c r="L77" s="10">
        <v>0.16</v>
      </c>
    </row>
    <row r="78" spans="1:12" x14ac:dyDescent="0.25">
      <c r="A78" s="8" t="s">
        <v>248</v>
      </c>
      <c r="B78" s="8" t="s">
        <v>61</v>
      </c>
      <c r="C78" s="8">
        <v>3</v>
      </c>
      <c r="D78" s="8" t="s">
        <v>391</v>
      </c>
      <c r="E78" s="8" t="s">
        <v>15</v>
      </c>
      <c r="F78" s="8" t="s">
        <v>318</v>
      </c>
      <c r="G78" s="17">
        <v>0</v>
      </c>
      <c r="H78" s="17">
        <v>0</v>
      </c>
      <c r="I78" s="10">
        <v>21.1</v>
      </c>
      <c r="J78" s="10">
        <v>8.6999999999999993</v>
      </c>
      <c r="K78" s="10">
        <v>4.7</v>
      </c>
      <c r="L78" s="10">
        <v>0.79</v>
      </c>
    </row>
    <row r="79" spans="1:12" x14ac:dyDescent="0.25">
      <c r="A79" s="8" t="s">
        <v>249</v>
      </c>
      <c r="B79" s="8" t="s">
        <v>61</v>
      </c>
      <c r="C79" s="8">
        <v>3</v>
      </c>
      <c r="D79" s="8" t="s">
        <v>402</v>
      </c>
      <c r="E79" s="8" t="s">
        <v>15</v>
      </c>
      <c r="F79" s="8" t="s">
        <v>318</v>
      </c>
      <c r="G79" s="17">
        <v>0</v>
      </c>
      <c r="H79" s="17">
        <v>0</v>
      </c>
      <c r="I79" s="10">
        <v>21.6</v>
      </c>
      <c r="J79" s="10">
        <v>15.3</v>
      </c>
      <c r="K79" s="10">
        <v>8.8000000000000007</v>
      </c>
      <c r="L79" s="10">
        <v>2</v>
      </c>
    </row>
    <row r="80" spans="1:12" x14ac:dyDescent="0.25">
      <c r="A80" s="8" t="s">
        <v>250</v>
      </c>
      <c r="B80" s="8" t="s">
        <v>61</v>
      </c>
      <c r="C80" s="8">
        <v>3</v>
      </c>
      <c r="D80" s="8" t="s">
        <v>392</v>
      </c>
      <c r="E80" s="8" t="s">
        <v>15</v>
      </c>
      <c r="F80" s="8" t="s">
        <v>318</v>
      </c>
      <c r="G80" s="17">
        <v>0.15</v>
      </c>
      <c r="H80" s="17">
        <v>0</v>
      </c>
      <c r="I80" s="10">
        <v>27.8</v>
      </c>
      <c r="J80" s="10">
        <v>11.6</v>
      </c>
      <c r="K80" s="10">
        <v>4.9000000000000004</v>
      </c>
      <c r="L80" s="10">
        <v>1.51</v>
      </c>
    </row>
    <row r="81" spans="1:12" x14ac:dyDescent="0.25">
      <c r="A81" s="8" t="s">
        <v>251</v>
      </c>
      <c r="B81" s="8" t="s">
        <v>61</v>
      </c>
      <c r="C81" s="8">
        <v>3</v>
      </c>
      <c r="D81" s="8" t="s">
        <v>392</v>
      </c>
      <c r="E81" s="8" t="s">
        <v>15</v>
      </c>
      <c r="F81" s="8" t="s">
        <v>318</v>
      </c>
      <c r="G81" s="17">
        <v>0</v>
      </c>
      <c r="H81" s="17">
        <v>0</v>
      </c>
      <c r="I81" s="10">
        <v>33.9</v>
      </c>
      <c r="J81" s="10">
        <v>20.100000000000001</v>
      </c>
      <c r="K81" s="10">
        <v>6.6</v>
      </c>
      <c r="L81" s="10">
        <v>3.08</v>
      </c>
    </row>
    <row r="82" spans="1:12" x14ac:dyDescent="0.25">
      <c r="A82" s="8" t="s">
        <v>252</v>
      </c>
      <c r="B82" s="8" t="s">
        <v>61</v>
      </c>
      <c r="C82" s="8">
        <v>3</v>
      </c>
      <c r="D82" s="8" t="s">
        <v>402</v>
      </c>
      <c r="E82" s="8" t="s">
        <v>15</v>
      </c>
      <c r="F82" s="8" t="s">
        <v>318</v>
      </c>
      <c r="G82" s="17">
        <v>0</v>
      </c>
      <c r="H82" s="17">
        <v>0.1</v>
      </c>
      <c r="I82" s="10">
        <v>21.9</v>
      </c>
      <c r="J82" s="10">
        <v>15.5</v>
      </c>
      <c r="K82" s="10">
        <v>12.2</v>
      </c>
      <c r="L82" s="10">
        <v>4.0999999999999996</v>
      </c>
    </row>
    <row r="83" spans="1:12" x14ac:dyDescent="0.25">
      <c r="A83" s="8" t="s">
        <v>253</v>
      </c>
      <c r="B83" s="8" t="s">
        <v>61</v>
      </c>
      <c r="C83" s="8">
        <v>3</v>
      </c>
      <c r="D83" s="8" t="s">
        <v>392</v>
      </c>
      <c r="E83" s="8" t="s">
        <v>21</v>
      </c>
      <c r="F83" s="8" t="s">
        <v>318</v>
      </c>
      <c r="G83" s="17">
        <v>0.05</v>
      </c>
      <c r="H83" s="17">
        <v>0.1</v>
      </c>
      <c r="I83" s="10">
        <v>25.7</v>
      </c>
      <c r="J83" s="10">
        <v>11.7</v>
      </c>
      <c r="K83" s="10">
        <v>3</v>
      </c>
      <c r="L83" s="10">
        <v>0.87</v>
      </c>
    </row>
    <row r="84" spans="1:12" x14ac:dyDescent="0.25">
      <c r="A84" s="8" t="s">
        <v>254</v>
      </c>
      <c r="B84" s="8" t="s">
        <v>61</v>
      </c>
      <c r="C84" s="8">
        <v>3</v>
      </c>
      <c r="D84" s="8" t="s">
        <v>392</v>
      </c>
      <c r="E84" s="8" t="s">
        <v>21</v>
      </c>
      <c r="F84" s="8" t="s">
        <v>318</v>
      </c>
      <c r="G84" s="17">
        <v>0</v>
      </c>
      <c r="H84" s="17">
        <v>0</v>
      </c>
      <c r="I84" s="10">
        <v>30.5</v>
      </c>
      <c r="J84" s="10">
        <v>19.100000000000001</v>
      </c>
      <c r="K84" s="10">
        <v>14.4</v>
      </c>
      <c r="L84" s="10">
        <v>4.0199999999999996</v>
      </c>
    </row>
    <row r="85" spans="1:12" x14ac:dyDescent="0.25">
      <c r="A85" s="8" t="s">
        <v>255</v>
      </c>
      <c r="B85" s="8" t="s">
        <v>61</v>
      </c>
      <c r="C85" s="8">
        <v>3</v>
      </c>
      <c r="D85" s="8" t="s">
        <v>391</v>
      </c>
      <c r="E85" s="8" t="s">
        <v>15</v>
      </c>
      <c r="F85" s="8" t="s">
        <v>318</v>
      </c>
      <c r="G85" s="17">
        <v>0.15</v>
      </c>
      <c r="H85" s="17">
        <v>0</v>
      </c>
      <c r="I85" s="10">
        <v>25.3</v>
      </c>
      <c r="J85" s="10">
        <v>15.3</v>
      </c>
      <c r="K85" s="10">
        <v>3.8</v>
      </c>
      <c r="L85" s="10">
        <v>1.1000000000000001</v>
      </c>
    </row>
    <row r="86" spans="1:12" x14ac:dyDescent="0.25">
      <c r="A86" s="8" t="s">
        <v>256</v>
      </c>
      <c r="B86" s="8" t="s">
        <v>61</v>
      </c>
      <c r="C86" s="8">
        <v>3</v>
      </c>
      <c r="D86" s="8" t="s">
        <v>392</v>
      </c>
      <c r="E86" s="8" t="s">
        <v>15</v>
      </c>
      <c r="F86" s="8" t="s">
        <v>318</v>
      </c>
      <c r="G86" s="17">
        <v>0.3</v>
      </c>
      <c r="H86" s="17">
        <v>0</v>
      </c>
      <c r="I86" s="10">
        <v>31</v>
      </c>
      <c r="J86" s="10">
        <v>16.2</v>
      </c>
      <c r="K86" s="10">
        <v>9.8000000000000007</v>
      </c>
      <c r="L86" s="10">
        <v>4.38</v>
      </c>
    </row>
    <row r="87" spans="1:12" x14ac:dyDescent="0.25">
      <c r="A87" s="8" t="s">
        <v>257</v>
      </c>
      <c r="B87" s="8" t="s">
        <v>61</v>
      </c>
      <c r="C87" s="8">
        <v>3</v>
      </c>
      <c r="D87" s="8" t="s">
        <v>392</v>
      </c>
      <c r="E87" s="8" t="s">
        <v>21</v>
      </c>
      <c r="F87" s="8" t="s">
        <v>318</v>
      </c>
      <c r="G87" s="17">
        <v>0.3</v>
      </c>
      <c r="H87" s="17">
        <v>0</v>
      </c>
      <c r="I87" s="10">
        <v>21.8</v>
      </c>
      <c r="J87" s="10">
        <v>16.399999999999999</v>
      </c>
      <c r="K87" s="10">
        <v>14</v>
      </c>
      <c r="L87" s="10">
        <v>2.72</v>
      </c>
    </row>
    <row r="88" spans="1:12" x14ac:dyDescent="0.25">
      <c r="A88" s="8" t="s">
        <v>258</v>
      </c>
      <c r="B88" s="8" t="s">
        <v>61</v>
      </c>
      <c r="C88" s="8">
        <v>3</v>
      </c>
      <c r="D88" s="8" t="s">
        <v>392</v>
      </c>
      <c r="E88" s="8" t="s">
        <v>21</v>
      </c>
      <c r="F88" s="8" t="s">
        <v>318</v>
      </c>
      <c r="G88" s="17">
        <v>0.4</v>
      </c>
      <c r="H88" s="17">
        <v>0</v>
      </c>
      <c r="I88" s="10">
        <v>19.8</v>
      </c>
      <c r="J88" s="10">
        <v>14.6</v>
      </c>
      <c r="K88" s="10">
        <v>7.1</v>
      </c>
      <c r="L88" s="10">
        <v>1.34</v>
      </c>
    </row>
    <row r="89" spans="1:12" x14ac:dyDescent="0.25">
      <c r="A89" s="8" t="s">
        <v>259</v>
      </c>
      <c r="B89" s="8" t="s">
        <v>61</v>
      </c>
      <c r="C89" s="8">
        <v>3</v>
      </c>
      <c r="D89" s="8" t="s">
        <v>392</v>
      </c>
      <c r="E89" s="8" t="s">
        <v>15</v>
      </c>
      <c r="F89" s="8" t="s">
        <v>318</v>
      </c>
      <c r="G89" s="17">
        <v>0.3</v>
      </c>
      <c r="H89" s="17">
        <v>0</v>
      </c>
      <c r="I89" s="10">
        <v>26.6</v>
      </c>
      <c r="J89" s="10">
        <v>7.6</v>
      </c>
      <c r="K89" s="10">
        <v>4.4000000000000004</v>
      </c>
      <c r="L89" s="10">
        <v>0.81</v>
      </c>
    </row>
    <row r="90" spans="1:12" x14ac:dyDescent="0.25">
      <c r="A90" s="8" t="s">
        <v>260</v>
      </c>
      <c r="B90" s="8" t="s">
        <v>61</v>
      </c>
      <c r="C90" s="8">
        <v>3</v>
      </c>
      <c r="D90" s="8" t="s">
        <v>391</v>
      </c>
      <c r="E90" s="8" t="s">
        <v>15</v>
      </c>
      <c r="F90" s="8" t="s">
        <v>318</v>
      </c>
      <c r="G90" s="17">
        <v>0.4</v>
      </c>
      <c r="H90" s="17">
        <v>0</v>
      </c>
      <c r="I90" s="10">
        <v>23.4</v>
      </c>
      <c r="J90" s="10">
        <v>9.3000000000000007</v>
      </c>
      <c r="K90" s="10">
        <v>4.0999999999999996</v>
      </c>
      <c r="L90" s="10">
        <v>0.82</v>
      </c>
    </row>
    <row r="91" spans="1:12" x14ac:dyDescent="0.25">
      <c r="A91" s="8" t="s">
        <v>261</v>
      </c>
      <c r="B91" s="8" t="s">
        <v>61</v>
      </c>
      <c r="C91" s="8">
        <v>3</v>
      </c>
      <c r="D91" s="8" t="s">
        <v>392</v>
      </c>
      <c r="E91" s="8" t="s">
        <v>21</v>
      </c>
      <c r="F91" s="8" t="s">
        <v>318</v>
      </c>
      <c r="G91" s="17">
        <v>0</v>
      </c>
      <c r="H91" s="17">
        <v>0.15</v>
      </c>
      <c r="I91" s="10">
        <v>24.5</v>
      </c>
      <c r="J91" s="10">
        <v>17.3</v>
      </c>
      <c r="K91" s="10">
        <v>5.3</v>
      </c>
      <c r="L91" s="10">
        <v>1.66</v>
      </c>
    </row>
    <row r="92" spans="1:12" x14ac:dyDescent="0.25">
      <c r="A92" s="8" t="s">
        <v>262</v>
      </c>
      <c r="B92" s="8" t="s">
        <v>61</v>
      </c>
      <c r="C92" s="8">
        <v>3</v>
      </c>
      <c r="D92" s="8" t="s">
        <v>392</v>
      </c>
      <c r="E92" s="8" t="s">
        <v>21</v>
      </c>
      <c r="F92" s="8" t="s">
        <v>318</v>
      </c>
      <c r="G92" s="17">
        <v>0</v>
      </c>
      <c r="H92" s="17">
        <v>0</v>
      </c>
      <c r="I92" s="10">
        <v>33.799999999999997</v>
      </c>
      <c r="J92" s="10">
        <v>25.7</v>
      </c>
      <c r="K92" s="10">
        <v>11.3</v>
      </c>
      <c r="L92" s="10">
        <v>6.48</v>
      </c>
    </row>
    <row r="93" spans="1:12" x14ac:dyDescent="0.25">
      <c r="A93" s="8" t="s">
        <v>263</v>
      </c>
      <c r="B93" s="8" t="s">
        <v>61</v>
      </c>
      <c r="C93" s="8">
        <v>3</v>
      </c>
      <c r="D93" s="8" t="s">
        <v>402</v>
      </c>
      <c r="E93" s="8" t="s">
        <v>21</v>
      </c>
      <c r="F93" s="8" t="s">
        <v>318</v>
      </c>
      <c r="G93" s="17">
        <v>0</v>
      </c>
      <c r="H93" s="17">
        <v>0.05</v>
      </c>
      <c r="I93" s="10">
        <v>22.2</v>
      </c>
      <c r="J93" s="10">
        <v>18.8</v>
      </c>
      <c r="K93" s="10">
        <v>10.5</v>
      </c>
      <c r="L93" s="10">
        <v>2.29</v>
      </c>
    </row>
    <row r="94" spans="1:12" x14ac:dyDescent="0.25">
      <c r="A94" s="8" t="s">
        <v>264</v>
      </c>
      <c r="B94" s="8" t="s">
        <v>61</v>
      </c>
      <c r="C94" s="8">
        <v>3</v>
      </c>
      <c r="D94" s="8" t="s">
        <v>402</v>
      </c>
      <c r="E94" s="8" t="s">
        <v>15</v>
      </c>
      <c r="F94" s="8" t="s">
        <v>318</v>
      </c>
      <c r="G94" s="17">
        <v>0</v>
      </c>
      <c r="H94" s="17">
        <v>0</v>
      </c>
      <c r="I94" s="10">
        <v>15.9</v>
      </c>
      <c r="J94" s="10">
        <v>11.3</v>
      </c>
      <c r="K94" s="10">
        <v>9.1999999999999993</v>
      </c>
      <c r="L94" s="10">
        <v>0.9</v>
      </c>
    </row>
    <row r="95" spans="1:12" x14ac:dyDescent="0.25">
      <c r="A95" s="8" t="s">
        <v>265</v>
      </c>
      <c r="B95" s="8" t="s">
        <v>61</v>
      </c>
      <c r="C95" s="8">
        <v>3</v>
      </c>
      <c r="D95" s="8" t="s">
        <v>391</v>
      </c>
      <c r="E95" s="8" t="s">
        <v>21</v>
      </c>
      <c r="F95" s="8" t="s">
        <v>318</v>
      </c>
      <c r="G95" s="17">
        <v>0</v>
      </c>
      <c r="H95" s="17">
        <v>0</v>
      </c>
      <c r="I95" s="10">
        <v>7.6</v>
      </c>
      <c r="J95" s="10">
        <v>7.4</v>
      </c>
      <c r="K95" s="10">
        <v>1.9</v>
      </c>
      <c r="L95" s="10">
        <v>0.11</v>
      </c>
    </row>
    <row r="96" spans="1:12" x14ac:dyDescent="0.25">
      <c r="A96" s="8" t="s">
        <v>266</v>
      </c>
      <c r="B96" s="8" t="s">
        <v>61</v>
      </c>
      <c r="C96" s="8">
        <v>3</v>
      </c>
      <c r="D96" s="8" t="s">
        <v>391</v>
      </c>
      <c r="E96" s="8" t="s">
        <v>15</v>
      </c>
      <c r="F96" s="8" t="s">
        <v>318</v>
      </c>
      <c r="G96" s="17">
        <v>0</v>
      </c>
      <c r="H96" s="17">
        <v>0.15</v>
      </c>
      <c r="I96" s="10">
        <v>26</v>
      </c>
      <c r="J96" s="10">
        <v>14.5</v>
      </c>
      <c r="K96" s="10">
        <v>8.9</v>
      </c>
      <c r="L96" s="10">
        <v>3.17</v>
      </c>
    </row>
    <row r="97" spans="1:12" x14ac:dyDescent="0.25">
      <c r="A97" s="8" t="s">
        <v>267</v>
      </c>
      <c r="B97" s="8" t="s">
        <v>61</v>
      </c>
      <c r="C97" s="8">
        <v>3</v>
      </c>
      <c r="D97" s="8" t="s">
        <v>391</v>
      </c>
      <c r="E97" s="8" t="s">
        <v>403</v>
      </c>
      <c r="F97" s="8" t="s">
        <v>318</v>
      </c>
      <c r="G97" s="17">
        <v>0</v>
      </c>
      <c r="H97" s="17">
        <v>0</v>
      </c>
      <c r="I97" s="10">
        <v>16.100000000000001</v>
      </c>
      <c r="J97" s="10">
        <v>11.3</v>
      </c>
      <c r="K97" s="10">
        <v>2.2000000000000002</v>
      </c>
      <c r="L97" s="10">
        <v>0.39</v>
      </c>
    </row>
    <row r="98" spans="1:12" x14ac:dyDescent="0.25">
      <c r="A98" s="8" t="s">
        <v>268</v>
      </c>
      <c r="B98" s="8" t="s">
        <v>61</v>
      </c>
      <c r="C98" s="8">
        <v>3</v>
      </c>
      <c r="D98" s="8" t="s">
        <v>391</v>
      </c>
      <c r="E98" s="8" t="s">
        <v>15</v>
      </c>
      <c r="F98" s="8" t="s">
        <v>318</v>
      </c>
      <c r="G98" s="17">
        <v>0.1</v>
      </c>
      <c r="H98" s="17">
        <v>0</v>
      </c>
      <c r="I98" s="10">
        <v>14</v>
      </c>
      <c r="J98" s="10">
        <v>13.2</v>
      </c>
      <c r="K98" s="10">
        <v>4.5</v>
      </c>
      <c r="L98" s="10">
        <v>0.57999999999999996</v>
      </c>
    </row>
    <row r="99" spans="1:12" x14ac:dyDescent="0.25">
      <c r="A99" s="8" t="s">
        <v>269</v>
      </c>
      <c r="B99" s="8" t="s">
        <v>61</v>
      </c>
      <c r="C99" s="8">
        <v>3</v>
      </c>
      <c r="D99" s="8" t="s">
        <v>391</v>
      </c>
      <c r="E99" s="8" t="s">
        <v>15</v>
      </c>
      <c r="F99" s="8" t="s">
        <v>318</v>
      </c>
      <c r="G99" s="17">
        <v>0</v>
      </c>
      <c r="H99" s="17">
        <v>0</v>
      </c>
      <c r="I99" s="10">
        <v>16.899999999999999</v>
      </c>
      <c r="J99" s="10">
        <v>13.2</v>
      </c>
      <c r="K99" s="10">
        <v>3.1</v>
      </c>
      <c r="L99" s="10">
        <v>0.31</v>
      </c>
    </row>
    <row r="100" spans="1:12" x14ac:dyDescent="0.25">
      <c r="A100" s="8" t="s">
        <v>270</v>
      </c>
      <c r="B100" s="8" t="s">
        <v>61</v>
      </c>
      <c r="C100" s="8">
        <v>3</v>
      </c>
      <c r="D100" s="8" t="s">
        <v>402</v>
      </c>
      <c r="E100" s="8" t="s">
        <v>15</v>
      </c>
      <c r="F100" s="8" t="s">
        <v>318</v>
      </c>
      <c r="G100" s="17">
        <v>0</v>
      </c>
      <c r="H100" s="17">
        <v>0</v>
      </c>
      <c r="I100" s="10">
        <v>11.2</v>
      </c>
      <c r="J100" s="10">
        <v>9.1999999999999993</v>
      </c>
      <c r="K100" s="10">
        <v>1.7</v>
      </c>
      <c r="L100" s="10">
        <v>0.19</v>
      </c>
    </row>
    <row r="101" spans="1:12" x14ac:dyDescent="0.25">
      <c r="A101" s="8" t="s">
        <v>271</v>
      </c>
      <c r="B101" s="8" t="s">
        <v>61</v>
      </c>
      <c r="C101" s="8">
        <v>3</v>
      </c>
      <c r="D101" s="8" t="s">
        <v>402</v>
      </c>
      <c r="E101" s="8" t="s">
        <v>15</v>
      </c>
      <c r="F101" s="8" t="s">
        <v>318</v>
      </c>
      <c r="G101" s="17">
        <v>0</v>
      </c>
      <c r="H101" s="17">
        <v>0</v>
      </c>
      <c r="I101" s="10">
        <v>18.2</v>
      </c>
      <c r="J101" s="10">
        <v>10.7</v>
      </c>
      <c r="K101" s="10">
        <v>5.9</v>
      </c>
      <c r="L101" s="10">
        <v>0.53</v>
      </c>
    </row>
    <row r="102" spans="1:12" x14ac:dyDescent="0.25">
      <c r="A102" s="8" t="s">
        <v>272</v>
      </c>
      <c r="B102" s="8" t="s">
        <v>61</v>
      </c>
      <c r="C102" s="8">
        <v>3</v>
      </c>
      <c r="D102" s="8" t="s">
        <v>393</v>
      </c>
      <c r="E102" s="8" t="s">
        <v>15</v>
      </c>
      <c r="F102" s="8" t="s">
        <v>318</v>
      </c>
      <c r="G102" s="17">
        <v>0</v>
      </c>
      <c r="H102" s="17">
        <v>0</v>
      </c>
      <c r="I102" s="10">
        <v>21</v>
      </c>
      <c r="J102" s="10">
        <v>7.4</v>
      </c>
      <c r="K102" s="10">
        <v>5.4</v>
      </c>
      <c r="L102" s="10">
        <v>0.63</v>
      </c>
    </row>
    <row r="103" spans="1:12" x14ac:dyDescent="0.25">
      <c r="A103" s="8" t="s">
        <v>273</v>
      </c>
      <c r="B103" s="8" t="s">
        <v>61</v>
      </c>
      <c r="C103" s="8">
        <v>3</v>
      </c>
      <c r="D103" s="8" t="s">
        <v>391</v>
      </c>
      <c r="E103" s="8" t="s">
        <v>15</v>
      </c>
      <c r="F103" s="8" t="s">
        <v>318</v>
      </c>
      <c r="G103" s="17">
        <v>0</v>
      </c>
      <c r="H103" s="17">
        <v>0</v>
      </c>
      <c r="I103" s="10">
        <v>16.100000000000001</v>
      </c>
      <c r="J103" s="10">
        <v>3.6</v>
      </c>
      <c r="K103" s="10">
        <v>3.2</v>
      </c>
      <c r="L103" s="10">
        <v>0.16</v>
      </c>
    </row>
    <row r="104" spans="1:12" x14ac:dyDescent="0.25">
      <c r="A104" s="8" t="s">
        <v>274</v>
      </c>
      <c r="B104" s="8" t="s">
        <v>61</v>
      </c>
      <c r="C104" s="8">
        <v>3</v>
      </c>
      <c r="D104" s="8" t="s">
        <v>391</v>
      </c>
      <c r="E104" s="8" t="s">
        <v>15</v>
      </c>
      <c r="F104" s="8" t="s">
        <v>318</v>
      </c>
      <c r="G104" s="17">
        <v>0</v>
      </c>
      <c r="H104" s="17">
        <v>0.2</v>
      </c>
      <c r="I104" s="10">
        <v>47</v>
      </c>
      <c r="J104" s="10">
        <v>29.6</v>
      </c>
      <c r="K104" s="10">
        <v>14.5</v>
      </c>
      <c r="L104" s="10">
        <v>18.11</v>
      </c>
    </row>
    <row r="105" spans="1:12" x14ac:dyDescent="0.25">
      <c r="A105" s="8" t="s">
        <v>275</v>
      </c>
      <c r="B105" s="8" t="s">
        <v>61</v>
      </c>
      <c r="C105" s="8">
        <v>3</v>
      </c>
      <c r="D105" s="8" t="s">
        <v>392</v>
      </c>
      <c r="E105" s="8" t="s">
        <v>21</v>
      </c>
      <c r="F105" s="8" t="s">
        <v>318</v>
      </c>
      <c r="G105" s="17">
        <v>0</v>
      </c>
      <c r="H105" s="17">
        <v>0</v>
      </c>
      <c r="I105" s="10">
        <v>43.1</v>
      </c>
      <c r="J105" s="10">
        <v>30.2</v>
      </c>
      <c r="K105" s="10">
        <v>4.4000000000000004</v>
      </c>
      <c r="L105" s="10">
        <v>5.84</v>
      </c>
    </row>
    <row r="106" spans="1:12" x14ac:dyDescent="0.25">
      <c r="A106" s="8" t="s">
        <v>276</v>
      </c>
      <c r="B106" s="8" t="s">
        <v>61</v>
      </c>
      <c r="C106" s="8">
        <v>3</v>
      </c>
      <c r="D106" s="8" t="s">
        <v>400</v>
      </c>
      <c r="E106" s="8" t="s">
        <v>404</v>
      </c>
      <c r="F106" s="8" t="s">
        <v>318</v>
      </c>
      <c r="G106" s="17">
        <v>0</v>
      </c>
      <c r="H106" s="17">
        <v>0.4</v>
      </c>
      <c r="I106" s="10">
        <v>17.399999999999999</v>
      </c>
      <c r="J106" s="10">
        <v>10.4</v>
      </c>
      <c r="K106" s="10">
        <v>5.3</v>
      </c>
      <c r="L106" s="10">
        <v>0.91</v>
      </c>
    </row>
    <row r="107" spans="1:12" x14ac:dyDescent="0.25">
      <c r="A107" s="8" t="s">
        <v>277</v>
      </c>
      <c r="B107" s="8" t="s">
        <v>61</v>
      </c>
      <c r="C107" s="8">
        <v>3</v>
      </c>
      <c r="D107" s="8" t="s">
        <v>391</v>
      </c>
      <c r="E107" s="8" t="s">
        <v>15</v>
      </c>
      <c r="F107" s="8" t="s">
        <v>318</v>
      </c>
      <c r="G107" s="17">
        <v>0</v>
      </c>
      <c r="H107" s="17">
        <v>0</v>
      </c>
      <c r="I107" s="10">
        <v>12.2</v>
      </c>
      <c r="J107" s="10">
        <v>9.3000000000000007</v>
      </c>
      <c r="K107" s="10">
        <v>6.6</v>
      </c>
      <c r="L107" s="10">
        <v>0.49</v>
      </c>
    </row>
    <row r="108" spans="1:12" x14ac:dyDescent="0.25">
      <c r="A108" s="8" t="s">
        <v>278</v>
      </c>
      <c r="B108" s="8" t="s">
        <v>61</v>
      </c>
      <c r="C108" s="8">
        <v>3</v>
      </c>
      <c r="D108" s="8" t="s">
        <v>391</v>
      </c>
      <c r="E108" s="8" t="s">
        <v>15</v>
      </c>
      <c r="F108" s="8" t="s">
        <v>318</v>
      </c>
      <c r="G108" s="17">
        <v>0</v>
      </c>
      <c r="H108" s="17">
        <v>0</v>
      </c>
      <c r="I108" s="10">
        <v>11.5</v>
      </c>
      <c r="J108" s="10">
        <v>7.3</v>
      </c>
      <c r="K108" s="10">
        <v>1.8</v>
      </c>
      <c r="L108" s="10">
        <v>0.15</v>
      </c>
    </row>
    <row r="109" spans="1:12" x14ac:dyDescent="0.25">
      <c r="A109" s="8" t="s">
        <v>279</v>
      </c>
      <c r="B109" s="8" t="s">
        <v>61</v>
      </c>
      <c r="C109" s="8">
        <v>3</v>
      </c>
      <c r="D109" s="8" t="s">
        <v>402</v>
      </c>
      <c r="E109" s="8" t="s">
        <v>15</v>
      </c>
      <c r="F109" s="8" t="s">
        <v>318</v>
      </c>
      <c r="G109" s="17">
        <v>0</v>
      </c>
      <c r="H109" s="17">
        <v>0</v>
      </c>
      <c r="I109" s="10">
        <v>31.9</v>
      </c>
      <c r="J109" s="10">
        <v>16.7</v>
      </c>
      <c r="K109" s="10">
        <v>8.6</v>
      </c>
      <c r="L109" s="10">
        <v>3.28</v>
      </c>
    </row>
    <row r="110" spans="1:12" x14ac:dyDescent="0.25">
      <c r="A110" s="8" t="s">
        <v>280</v>
      </c>
      <c r="B110" s="8" t="s">
        <v>61</v>
      </c>
      <c r="C110" s="8">
        <v>3</v>
      </c>
      <c r="D110" s="8" t="s">
        <v>391</v>
      </c>
      <c r="E110" s="8" t="s">
        <v>21</v>
      </c>
      <c r="F110" s="8" t="s">
        <v>318</v>
      </c>
      <c r="G110" s="17">
        <v>0.2</v>
      </c>
      <c r="H110" s="17">
        <v>0</v>
      </c>
      <c r="I110" s="10">
        <v>21.1</v>
      </c>
      <c r="J110" s="10">
        <v>12.1</v>
      </c>
      <c r="K110" s="10">
        <v>6.7</v>
      </c>
      <c r="L110" s="10">
        <v>1.53</v>
      </c>
    </row>
    <row r="111" spans="1:12" x14ac:dyDescent="0.25">
      <c r="A111" s="8" t="s">
        <v>281</v>
      </c>
      <c r="B111" s="8" t="s">
        <v>61</v>
      </c>
      <c r="C111" s="8">
        <v>3</v>
      </c>
      <c r="D111" s="8" t="s">
        <v>396</v>
      </c>
      <c r="E111" s="8" t="s">
        <v>21</v>
      </c>
      <c r="F111" s="8" t="s">
        <v>318</v>
      </c>
      <c r="G111" s="17">
        <v>0.4</v>
      </c>
      <c r="H111" s="17">
        <v>0</v>
      </c>
      <c r="I111" s="10">
        <v>33.6</v>
      </c>
      <c r="J111" s="10">
        <v>25.2</v>
      </c>
      <c r="K111" s="10">
        <v>11.8</v>
      </c>
      <c r="L111" s="10">
        <v>8.26</v>
      </c>
    </row>
    <row r="112" spans="1:12" x14ac:dyDescent="0.25">
      <c r="A112" s="8" t="s">
        <v>282</v>
      </c>
      <c r="B112" s="8" t="s">
        <v>61</v>
      </c>
      <c r="C112" s="8">
        <v>3</v>
      </c>
      <c r="D112" s="8" t="s">
        <v>391</v>
      </c>
      <c r="E112" s="8" t="s">
        <v>15</v>
      </c>
      <c r="F112" s="8" t="s">
        <v>318</v>
      </c>
      <c r="G112" s="17">
        <v>0.2</v>
      </c>
      <c r="H112" s="17">
        <v>0.4</v>
      </c>
      <c r="I112" s="10">
        <v>20.8</v>
      </c>
      <c r="J112" s="10">
        <v>10.7</v>
      </c>
      <c r="K112" s="10">
        <v>7.1</v>
      </c>
      <c r="L112" s="10">
        <v>0.86</v>
      </c>
    </row>
    <row r="113" spans="1:12" x14ac:dyDescent="0.25">
      <c r="A113" s="8" t="s">
        <v>283</v>
      </c>
      <c r="B113" s="8" t="s">
        <v>61</v>
      </c>
      <c r="C113" s="8">
        <v>3</v>
      </c>
      <c r="D113" s="8" t="s">
        <v>391</v>
      </c>
      <c r="E113" s="8" t="s">
        <v>21</v>
      </c>
      <c r="F113" s="8" t="s">
        <v>318</v>
      </c>
      <c r="G113" s="17">
        <v>0.1</v>
      </c>
      <c r="H113" s="17">
        <v>0.1</v>
      </c>
      <c r="I113" s="10">
        <v>65.5</v>
      </c>
      <c r="J113" s="10">
        <v>27.2</v>
      </c>
      <c r="K113" s="10">
        <v>14.7</v>
      </c>
      <c r="L113" s="10">
        <v>20.55</v>
      </c>
    </row>
    <row r="114" spans="1:12" x14ac:dyDescent="0.25">
      <c r="A114" s="8" t="s">
        <v>284</v>
      </c>
      <c r="B114" s="8" t="s">
        <v>61</v>
      </c>
      <c r="C114" s="8">
        <v>3</v>
      </c>
      <c r="D114" s="8" t="s">
        <v>393</v>
      </c>
      <c r="E114" s="8" t="s">
        <v>15</v>
      </c>
      <c r="F114" s="8" t="s">
        <v>318</v>
      </c>
      <c r="G114" s="17">
        <v>0</v>
      </c>
      <c r="H114" s="17">
        <v>0.6</v>
      </c>
      <c r="I114" s="10">
        <v>24.5</v>
      </c>
      <c r="J114" s="10">
        <v>13.8</v>
      </c>
      <c r="K114" s="10">
        <v>11.4</v>
      </c>
      <c r="L114" s="10">
        <v>2.41</v>
      </c>
    </row>
    <row r="115" spans="1:12" x14ac:dyDescent="0.25">
      <c r="A115" s="8" t="s">
        <v>285</v>
      </c>
      <c r="B115" s="8" t="s">
        <v>61</v>
      </c>
      <c r="C115" s="8">
        <v>3</v>
      </c>
      <c r="D115" s="8" t="s">
        <v>391</v>
      </c>
      <c r="E115" s="8" t="s">
        <v>15</v>
      </c>
      <c r="F115" s="8" t="s">
        <v>318</v>
      </c>
      <c r="G115" s="17">
        <v>0.1</v>
      </c>
      <c r="H115" s="17">
        <v>0.1</v>
      </c>
      <c r="I115" s="10">
        <v>25</v>
      </c>
      <c r="J115" s="10">
        <v>14.3</v>
      </c>
      <c r="K115" s="10">
        <v>5.9</v>
      </c>
      <c r="L115" s="10">
        <v>0.84</v>
      </c>
    </row>
    <row r="116" spans="1:12" x14ac:dyDescent="0.25">
      <c r="A116" s="8" t="s">
        <v>286</v>
      </c>
      <c r="B116" s="8" t="s">
        <v>61</v>
      </c>
      <c r="C116" s="8">
        <v>3</v>
      </c>
      <c r="D116" s="8" t="s">
        <v>402</v>
      </c>
      <c r="E116" s="8" t="s">
        <v>15</v>
      </c>
      <c r="F116" s="8" t="s">
        <v>318</v>
      </c>
      <c r="G116" s="17">
        <v>0</v>
      </c>
      <c r="H116" s="17">
        <v>0.3</v>
      </c>
      <c r="I116" s="10">
        <v>19.899999999999999</v>
      </c>
      <c r="J116" s="10">
        <v>13.7</v>
      </c>
      <c r="K116" s="10">
        <v>6.2</v>
      </c>
      <c r="L116" s="10">
        <v>1.29</v>
      </c>
    </row>
    <row r="117" spans="1:12" x14ac:dyDescent="0.25">
      <c r="A117" s="8" t="s">
        <v>287</v>
      </c>
      <c r="B117" s="8" t="s">
        <v>61</v>
      </c>
      <c r="C117" s="8">
        <v>3</v>
      </c>
      <c r="D117" s="8" t="s">
        <v>402</v>
      </c>
      <c r="E117" s="8" t="s">
        <v>15</v>
      </c>
      <c r="F117" s="8" t="s">
        <v>318</v>
      </c>
      <c r="G117" s="17">
        <v>0.4</v>
      </c>
      <c r="H117" s="17">
        <v>0.05</v>
      </c>
      <c r="I117" s="10">
        <v>22.8</v>
      </c>
      <c r="J117" s="10">
        <v>18.8</v>
      </c>
      <c r="K117" s="10">
        <v>7</v>
      </c>
      <c r="L117" s="10">
        <v>2.2000000000000002</v>
      </c>
    </row>
    <row r="118" spans="1:12" x14ac:dyDescent="0.25">
      <c r="A118" s="8" t="s">
        <v>288</v>
      </c>
      <c r="B118" s="8" t="s">
        <v>61</v>
      </c>
      <c r="C118" s="8">
        <v>3</v>
      </c>
      <c r="D118" s="8" t="s">
        <v>393</v>
      </c>
      <c r="E118" s="8" t="s">
        <v>15</v>
      </c>
      <c r="F118" s="8" t="s">
        <v>318</v>
      </c>
      <c r="G118" s="17">
        <v>0</v>
      </c>
      <c r="H118" s="17">
        <v>0.15</v>
      </c>
      <c r="I118" s="10">
        <v>18.7</v>
      </c>
      <c r="J118" s="10">
        <v>18.100000000000001</v>
      </c>
      <c r="K118" s="10">
        <v>9.5</v>
      </c>
      <c r="L118" s="10">
        <v>3.46</v>
      </c>
    </row>
    <row r="119" spans="1:12" x14ac:dyDescent="0.25">
      <c r="A119" s="8" t="s">
        <v>289</v>
      </c>
      <c r="B119" s="8" t="s">
        <v>61</v>
      </c>
      <c r="C119" s="8">
        <v>3</v>
      </c>
      <c r="D119" s="8" t="s">
        <v>394</v>
      </c>
      <c r="E119" s="8" t="s">
        <v>21</v>
      </c>
      <c r="F119" s="8" t="s">
        <v>318</v>
      </c>
      <c r="G119" s="17">
        <v>1</v>
      </c>
      <c r="H119" s="17">
        <v>0</v>
      </c>
      <c r="I119" s="10">
        <v>146</v>
      </c>
      <c r="J119" s="10">
        <v>116.6</v>
      </c>
      <c r="K119" s="10">
        <v>77.099999999999994</v>
      </c>
      <c r="L119" s="10">
        <v>1695.3</v>
      </c>
    </row>
    <row r="120" spans="1:12" x14ac:dyDescent="0.25">
      <c r="A120" s="8" t="s">
        <v>99</v>
      </c>
      <c r="B120" s="8" t="s">
        <v>62</v>
      </c>
      <c r="C120" s="8">
        <v>2</v>
      </c>
      <c r="D120" s="8" t="s">
        <v>391</v>
      </c>
      <c r="E120" s="8" t="s">
        <v>15</v>
      </c>
      <c r="F120" s="8" t="s">
        <v>318</v>
      </c>
      <c r="G120" s="17">
        <v>1</v>
      </c>
      <c r="H120" s="17">
        <v>0</v>
      </c>
      <c r="I120" s="10">
        <v>86.5</v>
      </c>
      <c r="J120" s="10">
        <v>60.4</v>
      </c>
      <c r="K120" s="10">
        <v>34.1</v>
      </c>
      <c r="L120" s="10">
        <v>178.9</v>
      </c>
    </row>
    <row r="121" spans="1:12" x14ac:dyDescent="0.25">
      <c r="A121" s="8" t="s">
        <v>100</v>
      </c>
      <c r="B121" s="8" t="s">
        <v>62</v>
      </c>
      <c r="C121" s="8">
        <v>2</v>
      </c>
      <c r="D121" s="8" t="s">
        <v>392</v>
      </c>
      <c r="E121" s="8" t="s">
        <v>15</v>
      </c>
      <c r="F121" s="8" t="s">
        <v>318</v>
      </c>
      <c r="G121" s="17">
        <v>0.4</v>
      </c>
      <c r="H121" s="17">
        <v>0.3</v>
      </c>
      <c r="I121" s="10">
        <v>56.3</v>
      </c>
      <c r="J121" s="10">
        <v>44.9</v>
      </c>
      <c r="K121" s="10">
        <v>19.100000000000001</v>
      </c>
      <c r="L121" s="10">
        <v>69.400000000000006</v>
      </c>
    </row>
    <row r="122" spans="1:12" x14ac:dyDescent="0.25">
      <c r="A122" s="8" t="s">
        <v>131</v>
      </c>
      <c r="B122" s="8" t="s">
        <v>62</v>
      </c>
      <c r="C122" s="8">
        <v>3</v>
      </c>
      <c r="D122" s="8" t="s">
        <v>393</v>
      </c>
      <c r="E122" s="8" t="s">
        <v>15</v>
      </c>
      <c r="F122" s="8" t="s">
        <v>318</v>
      </c>
      <c r="G122" s="17">
        <v>0</v>
      </c>
      <c r="H122" s="17">
        <v>0.4</v>
      </c>
      <c r="I122" s="10">
        <v>22.1</v>
      </c>
      <c r="J122" s="10">
        <v>15.6</v>
      </c>
      <c r="K122" s="10">
        <v>11.5</v>
      </c>
      <c r="L122" s="10">
        <v>3.8</v>
      </c>
    </row>
    <row r="123" spans="1:12" x14ac:dyDescent="0.25">
      <c r="A123" s="8" t="s">
        <v>128</v>
      </c>
      <c r="B123" s="8" t="s">
        <v>62</v>
      </c>
      <c r="C123" s="8">
        <v>2</v>
      </c>
      <c r="D123" s="8" t="s">
        <v>391</v>
      </c>
      <c r="E123" s="8" t="s">
        <v>15</v>
      </c>
      <c r="F123" s="8" t="s">
        <v>318</v>
      </c>
      <c r="G123" s="17">
        <v>0.45</v>
      </c>
      <c r="H123" s="17">
        <v>0.05</v>
      </c>
      <c r="I123" s="10">
        <v>43.5</v>
      </c>
      <c r="J123" s="10">
        <v>28.1</v>
      </c>
      <c r="K123" s="10">
        <v>12.2</v>
      </c>
      <c r="L123" s="10">
        <v>11.6</v>
      </c>
    </row>
    <row r="124" spans="1:12" x14ac:dyDescent="0.25">
      <c r="A124" s="8" t="s">
        <v>290</v>
      </c>
      <c r="B124" s="8" t="s">
        <v>62</v>
      </c>
      <c r="C124" s="8">
        <v>2</v>
      </c>
      <c r="D124" s="8" t="s">
        <v>393</v>
      </c>
      <c r="E124" s="8" t="s">
        <v>15</v>
      </c>
      <c r="F124" s="8" t="s">
        <v>318</v>
      </c>
      <c r="G124" s="17">
        <v>0</v>
      </c>
      <c r="H124" s="17">
        <v>0.2</v>
      </c>
      <c r="I124" s="10">
        <v>19</v>
      </c>
      <c r="J124" s="10">
        <v>11.9</v>
      </c>
      <c r="K124" s="10">
        <v>7</v>
      </c>
      <c r="L124" s="10">
        <v>1.57</v>
      </c>
    </row>
    <row r="125" spans="1:12" x14ac:dyDescent="0.25">
      <c r="A125" s="8" t="s">
        <v>291</v>
      </c>
      <c r="B125" s="8" t="s">
        <v>62</v>
      </c>
      <c r="C125" s="8">
        <v>2</v>
      </c>
      <c r="D125" s="8" t="s">
        <v>393</v>
      </c>
      <c r="E125" s="8" t="s">
        <v>15</v>
      </c>
      <c r="F125" s="8" t="s">
        <v>318</v>
      </c>
      <c r="G125" s="17">
        <v>0</v>
      </c>
      <c r="H125" s="17">
        <v>0.3</v>
      </c>
      <c r="I125" s="10">
        <v>20.399999999999999</v>
      </c>
      <c r="J125" s="10">
        <v>11</v>
      </c>
      <c r="K125" s="10">
        <v>10.1</v>
      </c>
      <c r="L125" s="10">
        <v>2.15</v>
      </c>
    </row>
    <row r="126" spans="1:12" x14ac:dyDescent="0.25">
      <c r="A126" s="8" t="s">
        <v>292</v>
      </c>
      <c r="B126" s="8" t="s">
        <v>62</v>
      </c>
      <c r="C126" s="8">
        <v>2</v>
      </c>
      <c r="D126" s="8" t="s">
        <v>393</v>
      </c>
      <c r="E126" s="8" t="s">
        <v>15</v>
      </c>
      <c r="F126" s="8" t="s">
        <v>318</v>
      </c>
      <c r="G126" s="17">
        <v>0</v>
      </c>
      <c r="H126" s="17">
        <v>0.3</v>
      </c>
      <c r="I126" s="10">
        <v>11.8</v>
      </c>
      <c r="J126" s="10">
        <v>8.8000000000000007</v>
      </c>
      <c r="K126" s="10">
        <v>5.2</v>
      </c>
      <c r="L126" s="10">
        <v>0.54</v>
      </c>
    </row>
    <row r="127" spans="1:12" x14ac:dyDescent="0.25">
      <c r="A127" s="8" t="s">
        <v>293</v>
      </c>
      <c r="B127" s="8" t="s">
        <v>62</v>
      </c>
      <c r="C127" s="8">
        <v>2</v>
      </c>
      <c r="D127" s="8" t="s">
        <v>393</v>
      </c>
      <c r="E127" s="8" t="s">
        <v>15</v>
      </c>
      <c r="F127" s="8" t="s">
        <v>318</v>
      </c>
      <c r="G127" s="17">
        <v>0</v>
      </c>
      <c r="H127" s="17">
        <v>0.3</v>
      </c>
      <c r="I127" s="10">
        <v>17.399999999999999</v>
      </c>
      <c r="J127" s="10">
        <v>16.3</v>
      </c>
      <c r="K127" s="10">
        <v>9.8000000000000007</v>
      </c>
      <c r="L127" s="10">
        <v>3.57</v>
      </c>
    </row>
    <row r="128" spans="1:12" x14ac:dyDescent="0.25">
      <c r="A128" s="8" t="s">
        <v>294</v>
      </c>
      <c r="B128" s="8" t="s">
        <v>62</v>
      </c>
      <c r="C128" s="8">
        <v>2</v>
      </c>
      <c r="D128" s="8" t="s">
        <v>393</v>
      </c>
      <c r="E128" s="8" t="s">
        <v>15</v>
      </c>
      <c r="F128" s="8" t="s">
        <v>318</v>
      </c>
      <c r="G128" s="17">
        <v>0</v>
      </c>
      <c r="H128" s="17">
        <v>0.2</v>
      </c>
      <c r="I128" s="10">
        <v>14.6</v>
      </c>
      <c r="J128" s="10">
        <v>5.6</v>
      </c>
      <c r="K128" s="10">
        <v>4.7</v>
      </c>
      <c r="L128" s="10">
        <v>0.4</v>
      </c>
    </row>
    <row r="129" spans="1:12" x14ac:dyDescent="0.25">
      <c r="A129" s="8" t="s">
        <v>295</v>
      </c>
      <c r="B129" s="8" t="s">
        <v>61</v>
      </c>
      <c r="C129" s="8">
        <v>3</v>
      </c>
      <c r="D129" s="8" t="s">
        <v>393</v>
      </c>
      <c r="E129" s="8" t="s">
        <v>15</v>
      </c>
      <c r="F129" s="8" t="s">
        <v>318</v>
      </c>
      <c r="G129" s="17">
        <v>0</v>
      </c>
      <c r="H129" s="17">
        <v>0.2</v>
      </c>
      <c r="I129" s="10">
        <v>22.4</v>
      </c>
      <c r="J129" s="10">
        <v>16.3</v>
      </c>
      <c r="K129" s="10">
        <v>5.4</v>
      </c>
      <c r="L129" s="10">
        <v>1.98</v>
      </c>
    </row>
    <row r="130" spans="1:12" x14ac:dyDescent="0.25">
      <c r="A130" s="8" t="s">
        <v>296</v>
      </c>
      <c r="B130" s="8" t="s">
        <v>61</v>
      </c>
      <c r="C130" s="8">
        <v>3</v>
      </c>
      <c r="D130" s="8" t="s">
        <v>393</v>
      </c>
      <c r="E130" s="8" t="s">
        <v>15</v>
      </c>
      <c r="F130" s="8" t="s">
        <v>318</v>
      </c>
      <c r="G130" s="17">
        <v>0</v>
      </c>
      <c r="H130" s="17">
        <v>0.15</v>
      </c>
      <c r="I130" s="10">
        <v>16.5</v>
      </c>
      <c r="J130" s="10">
        <v>12.9</v>
      </c>
      <c r="K130" s="10">
        <v>7.7</v>
      </c>
      <c r="L130" s="10">
        <v>1.61</v>
      </c>
    </row>
    <row r="131" spans="1:12" x14ac:dyDescent="0.25">
      <c r="A131" s="8" t="s">
        <v>297</v>
      </c>
      <c r="B131" s="8" t="s">
        <v>61</v>
      </c>
      <c r="C131" s="8">
        <v>2</v>
      </c>
      <c r="D131" s="8" t="s">
        <v>393</v>
      </c>
      <c r="E131" s="8" t="s">
        <v>15</v>
      </c>
      <c r="F131" s="8" t="s">
        <v>318</v>
      </c>
      <c r="G131" s="17">
        <v>0</v>
      </c>
      <c r="H131" s="17">
        <v>0.7</v>
      </c>
      <c r="I131" s="10">
        <v>14.6</v>
      </c>
      <c r="J131" s="10">
        <v>11</v>
      </c>
      <c r="K131" s="10">
        <v>7.5</v>
      </c>
      <c r="L131" s="10">
        <v>0.77</v>
      </c>
    </row>
    <row r="132" spans="1:12" x14ac:dyDescent="0.25">
      <c r="A132" s="8" t="s">
        <v>298</v>
      </c>
      <c r="B132" s="8" t="s">
        <v>61</v>
      </c>
      <c r="C132" s="8">
        <v>2</v>
      </c>
      <c r="D132" s="8" t="s">
        <v>393</v>
      </c>
      <c r="E132" s="8" t="s">
        <v>15</v>
      </c>
      <c r="F132" s="8" t="s">
        <v>318</v>
      </c>
      <c r="G132" s="17">
        <v>0</v>
      </c>
      <c r="H132" s="17">
        <v>0.2</v>
      </c>
      <c r="I132" s="10">
        <v>9.9</v>
      </c>
      <c r="J132" s="10">
        <v>9.6999999999999993</v>
      </c>
      <c r="K132" s="10">
        <v>6.8</v>
      </c>
      <c r="L132" s="10">
        <v>0.73</v>
      </c>
    </row>
    <row r="133" spans="1:12" x14ac:dyDescent="0.25">
      <c r="A133" s="8" t="s">
        <v>299</v>
      </c>
      <c r="B133" s="8" t="s">
        <v>61</v>
      </c>
      <c r="C133" s="8">
        <v>2</v>
      </c>
      <c r="D133" s="8" t="s">
        <v>393</v>
      </c>
      <c r="E133" s="8" t="s">
        <v>15</v>
      </c>
      <c r="F133" s="8" t="s">
        <v>318</v>
      </c>
      <c r="G133" s="17">
        <v>0</v>
      </c>
      <c r="H133" s="17">
        <v>0</v>
      </c>
      <c r="I133" s="10">
        <v>6.8</v>
      </c>
      <c r="J133" s="10">
        <v>3.3</v>
      </c>
      <c r="K133" s="10">
        <v>2.5</v>
      </c>
      <c r="L133" s="10">
        <v>0.08</v>
      </c>
    </row>
    <row r="134" spans="1:12" x14ac:dyDescent="0.25">
      <c r="A134" s="8" t="s">
        <v>300</v>
      </c>
      <c r="B134" s="8" t="s">
        <v>61</v>
      </c>
      <c r="C134" s="8">
        <v>2</v>
      </c>
      <c r="D134" s="8" t="s">
        <v>393</v>
      </c>
      <c r="E134" s="8" t="s">
        <v>15</v>
      </c>
      <c r="F134" s="8" t="s">
        <v>318</v>
      </c>
      <c r="G134" s="17">
        <v>0</v>
      </c>
      <c r="H134" s="17">
        <v>0.3</v>
      </c>
      <c r="I134" s="10">
        <v>11.9</v>
      </c>
      <c r="J134" s="10">
        <v>6.6</v>
      </c>
      <c r="K134" s="10">
        <v>4.8</v>
      </c>
      <c r="L134" s="10">
        <v>0.8</v>
      </c>
    </row>
    <row r="135" spans="1:12" x14ac:dyDescent="0.25">
      <c r="A135" s="8" t="s">
        <v>301</v>
      </c>
      <c r="B135" s="8" t="s">
        <v>61</v>
      </c>
      <c r="C135" s="8">
        <v>2</v>
      </c>
      <c r="D135" s="8" t="s">
        <v>393</v>
      </c>
      <c r="E135" s="8" t="s">
        <v>15</v>
      </c>
      <c r="F135" s="8" t="s">
        <v>318</v>
      </c>
      <c r="G135" s="17">
        <v>0</v>
      </c>
      <c r="H135" s="17">
        <v>0.2</v>
      </c>
      <c r="I135" s="10">
        <v>19.07</v>
      </c>
      <c r="J135" s="10">
        <v>17.3</v>
      </c>
      <c r="K135" s="10">
        <v>13.3</v>
      </c>
      <c r="L135" s="10">
        <v>4.6399999999999997</v>
      </c>
    </row>
    <row r="136" spans="1:12" x14ac:dyDescent="0.25">
      <c r="A136" s="8" t="s">
        <v>302</v>
      </c>
      <c r="B136" s="8" t="s">
        <v>61</v>
      </c>
      <c r="C136" s="8">
        <v>2</v>
      </c>
      <c r="D136" s="8" t="s">
        <v>393</v>
      </c>
      <c r="E136" s="8" t="s">
        <v>15</v>
      </c>
      <c r="F136" s="8" t="s">
        <v>318</v>
      </c>
      <c r="G136" s="17">
        <v>0</v>
      </c>
      <c r="H136" s="17">
        <v>0</v>
      </c>
      <c r="I136" s="10">
        <v>9.6999999999999993</v>
      </c>
      <c r="J136" s="10">
        <v>6.7</v>
      </c>
      <c r="K136" s="10">
        <v>2.8</v>
      </c>
      <c r="L136" s="10">
        <v>0.27</v>
      </c>
    </row>
    <row r="137" spans="1:12" x14ac:dyDescent="0.25">
      <c r="A137" s="8" t="s">
        <v>303</v>
      </c>
      <c r="B137" s="8" t="s">
        <v>61</v>
      </c>
      <c r="C137" s="8">
        <v>2</v>
      </c>
      <c r="D137" s="8" t="s">
        <v>393</v>
      </c>
      <c r="E137" s="8" t="s">
        <v>15</v>
      </c>
      <c r="F137" s="8" t="s">
        <v>318</v>
      </c>
      <c r="G137" s="17">
        <v>0</v>
      </c>
      <c r="H137" s="17">
        <v>0</v>
      </c>
      <c r="I137" s="10">
        <v>9.5</v>
      </c>
      <c r="J137" s="10">
        <v>9.4</v>
      </c>
      <c r="K137" s="10">
        <v>5.0999999999999996</v>
      </c>
      <c r="L137" s="10">
        <v>0.52</v>
      </c>
    </row>
    <row r="138" spans="1:12" x14ac:dyDescent="0.25">
      <c r="A138" s="8" t="s">
        <v>304</v>
      </c>
      <c r="B138" s="8" t="s">
        <v>61</v>
      </c>
      <c r="C138" s="8">
        <v>2</v>
      </c>
      <c r="D138" s="8" t="s">
        <v>393</v>
      </c>
      <c r="E138" s="8" t="s">
        <v>15</v>
      </c>
      <c r="F138" s="8" t="s">
        <v>318</v>
      </c>
      <c r="G138" s="17">
        <v>0</v>
      </c>
      <c r="H138" s="17">
        <v>0</v>
      </c>
      <c r="I138" s="10">
        <v>7.8</v>
      </c>
      <c r="J138" s="10">
        <v>4.9000000000000004</v>
      </c>
      <c r="K138" s="10">
        <v>4.2</v>
      </c>
      <c r="L138" s="10">
        <v>0.16</v>
      </c>
    </row>
    <row r="139" spans="1:12" x14ac:dyDescent="0.25">
      <c r="A139" s="8" t="s">
        <v>305</v>
      </c>
      <c r="B139" s="8" t="s">
        <v>61</v>
      </c>
      <c r="C139" s="8">
        <v>2</v>
      </c>
      <c r="D139" s="8" t="s">
        <v>393</v>
      </c>
      <c r="E139" s="8" t="s">
        <v>15</v>
      </c>
      <c r="F139" s="8" t="s">
        <v>318</v>
      </c>
      <c r="G139" s="17">
        <v>0</v>
      </c>
      <c r="H139" s="17">
        <v>0</v>
      </c>
      <c r="I139" s="10">
        <v>4.8</v>
      </c>
      <c r="J139" s="10">
        <v>3</v>
      </c>
      <c r="K139" s="10">
        <v>2.6</v>
      </c>
      <c r="L139" s="10">
        <v>0.03</v>
      </c>
    </row>
    <row r="140" spans="1:12" x14ac:dyDescent="0.25">
      <c r="A140" s="8" t="s">
        <v>306</v>
      </c>
      <c r="B140" s="8" t="s">
        <v>61</v>
      </c>
      <c r="C140" s="8">
        <v>2</v>
      </c>
      <c r="D140" s="8" t="s">
        <v>393</v>
      </c>
      <c r="E140" s="8" t="s">
        <v>15</v>
      </c>
      <c r="F140" s="8" t="s">
        <v>318</v>
      </c>
      <c r="G140" s="17">
        <v>0</v>
      </c>
      <c r="H140" s="17">
        <v>0</v>
      </c>
      <c r="I140" s="10">
        <v>4.8</v>
      </c>
      <c r="J140" s="10">
        <v>3.7</v>
      </c>
      <c r="K140" s="10">
        <v>3.1</v>
      </c>
      <c r="L140" s="10">
        <v>7.0000000000000007E-2</v>
      </c>
    </row>
    <row r="141" spans="1:12" x14ac:dyDescent="0.25">
      <c r="A141" s="8" t="s">
        <v>307</v>
      </c>
      <c r="B141" s="8" t="s">
        <v>61</v>
      </c>
      <c r="C141" s="8">
        <v>2</v>
      </c>
      <c r="D141" s="8" t="s">
        <v>393</v>
      </c>
      <c r="E141" s="8" t="s">
        <v>15</v>
      </c>
      <c r="F141" s="8" t="s">
        <v>318</v>
      </c>
      <c r="G141" s="17">
        <v>0</v>
      </c>
      <c r="H141" s="17">
        <v>0.3</v>
      </c>
      <c r="I141" s="10">
        <v>19.399999999999999</v>
      </c>
      <c r="J141" s="10">
        <v>10.5</v>
      </c>
      <c r="K141" s="10">
        <v>9.4</v>
      </c>
      <c r="L141" s="10">
        <v>1.78</v>
      </c>
    </row>
    <row r="142" spans="1:12" x14ac:dyDescent="0.25">
      <c r="A142" s="8" t="s">
        <v>308</v>
      </c>
      <c r="B142" s="8" t="s">
        <v>61</v>
      </c>
      <c r="C142" s="8">
        <v>2</v>
      </c>
      <c r="D142" s="8" t="s">
        <v>393</v>
      </c>
      <c r="E142" s="8" t="s">
        <v>15</v>
      </c>
      <c r="F142" s="8" t="s">
        <v>318</v>
      </c>
      <c r="G142" s="17">
        <v>0</v>
      </c>
      <c r="H142" s="17">
        <v>0.15</v>
      </c>
      <c r="I142" s="10">
        <v>15.6</v>
      </c>
      <c r="J142" s="10">
        <v>11.3</v>
      </c>
      <c r="K142" s="10">
        <v>10.4</v>
      </c>
      <c r="L142" s="10">
        <v>1.37</v>
      </c>
    </row>
    <row r="143" spans="1:12" x14ac:dyDescent="0.25">
      <c r="A143" s="8" t="s">
        <v>309</v>
      </c>
      <c r="B143" s="8" t="s">
        <v>61</v>
      </c>
      <c r="C143" s="8">
        <v>2</v>
      </c>
      <c r="D143" s="8" t="s">
        <v>393</v>
      </c>
      <c r="E143" s="8" t="s">
        <v>15</v>
      </c>
      <c r="F143" s="8" t="s">
        <v>318</v>
      </c>
      <c r="G143" s="17">
        <v>0</v>
      </c>
      <c r="H143" s="17">
        <v>0.35</v>
      </c>
      <c r="I143" s="10">
        <v>13.2</v>
      </c>
      <c r="J143" s="10">
        <v>10.5</v>
      </c>
      <c r="K143" s="10">
        <v>6.5</v>
      </c>
      <c r="L143" s="10">
        <v>0.87</v>
      </c>
    </row>
    <row r="144" spans="1:12" x14ac:dyDescent="0.25">
      <c r="A144" s="8" t="s">
        <v>310</v>
      </c>
      <c r="B144" s="8" t="s">
        <v>61</v>
      </c>
      <c r="C144" s="8">
        <v>2</v>
      </c>
      <c r="D144" s="8" t="s">
        <v>393</v>
      </c>
      <c r="E144" s="8" t="s">
        <v>15</v>
      </c>
      <c r="F144" s="8" t="s">
        <v>318</v>
      </c>
      <c r="G144" s="17">
        <v>0</v>
      </c>
      <c r="H144" s="17">
        <v>0.15</v>
      </c>
      <c r="I144" s="10">
        <v>10.9</v>
      </c>
      <c r="J144" s="10">
        <v>10.3</v>
      </c>
      <c r="K144" s="10">
        <v>7.4</v>
      </c>
      <c r="L144" s="10">
        <v>0.68</v>
      </c>
    </row>
    <row r="145" spans="1:12" x14ac:dyDescent="0.25">
      <c r="A145" s="8" t="s">
        <v>311</v>
      </c>
      <c r="B145" s="8" t="s">
        <v>61</v>
      </c>
      <c r="C145" s="8">
        <v>2</v>
      </c>
      <c r="D145" s="8" t="s">
        <v>393</v>
      </c>
      <c r="E145" s="8" t="s">
        <v>15</v>
      </c>
      <c r="F145" s="8" t="s">
        <v>318</v>
      </c>
      <c r="G145" s="17">
        <v>0</v>
      </c>
      <c r="H145" s="17">
        <v>0.15</v>
      </c>
      <c r="I145" s="10">
        <v>10.9</v>
      </c>
      <c r="J145" s="10">
        <v>8.1999999999999993</v>
      </c>
      <c r="K145" s="10">
        <v>6.7</v>
      </c>
      <c r="L145" s="10">
        <v>0.52</v>
      </c>
    </row>
    <row r="146" spans="1:12" x14ac:dyDescent="0.25">
      <c r="A146" s="8" t="s">
        <v>312</v>
      </c>
      <c r="B146" s="8" t="s">
        <v>61</v>
      </c>
      <c r="C146" s="8">
        <v>2</v>
      </c>
      <c r="D146" s="8" t="s">
        <v>393</v>
      </c>
      <c r="E146" s="8" t="s">
        <v>15</v>
      </c>
      <c r="F146" s="8" t="s">
        <v>318</v>
      </c>
      <c r="G146" s="17">
        <v>0</v>
      </c>
      <c r="H146" s="17">
        <v>0.1</v>
      </c>
      <c r="I146" s="10">
        <v>20.3</v>
      </c>
      <c r="J146" s="10">
        <v>18.600000000000001</v>
      </c>
      <c r="K146" s="10">
        <v>8.6</v>
      </c>
      <c r="L146" s="10">
        <v>3.8</v>
      </c>
    </row>
    <row r="147" spans="1:12" x14ac:dyDescent="0.25">
      <c r="A147" s="8" t="s">
        <v>313</v>
      </c>
      <c r="B147" s="8" t="s">
        <v>61</v>
      </c>
      <c r="C147" s="8">
        <v>2</v>
      </c>
      <c r="D147" s="8" t="s">
        <v>393</v>
      </c>
      <c r="E147" s="8" t="s">
        <v>15</v>
      </c>
      <c r="F147" s="8" t="s">
        <v>318</v>
      </c>
      <c r="G147" s="17">
        <v>0</v>
      </c>
      <c r="H147" s="17">
        <v>0.4</v>
      </c>
      <c r="I147" s="10">
        <v>14.5</v>
      </c>
      <c r="J147" s="10">
        <v>12.2</v>
      </c>
      <c r="K147" s="10">
        <v>4.4000000000000004</v>
      </c>
      <c r="L147" s="10">
        <v>0.65</v>
      </c>
    </row>
    <row r="148" spans="1:12" x14ac:dyDescent="0.25">
      <c r="A148" s="8" t="s">
        <v>314</v>
      </c>
      <c r="B148" s="8" t="s">
        <v>61</v>
      </c>
      <c r="C148" s="8">
        <v>2</v>
      </c>
      <c r="D148" s="8" t="s">
        <v>393</v>
      </c>
      <c r="E148" s="8" t="s">
        <v>15</v>
      </c>
      <c r="F148" s="8" t="s">
        <v>318</v>
      </c>
      <c r="G148" s="17">
        <v>0</v>
      </c>
      <c r="H148" s="17">
        <v>0.6</v>
      </c>
      <c r="I148" s="10">
        <v>15.4</v>
      </c>
      <c r="J148" s="10">
        <v>9.4</v>
      </c>
      <c r="K148" s="10">
        <v>6.9</v>
      </c>
      <c r="L148" s="10">
        <v>1.04</v>
      </c>
    </row>
    <row r="149" spans="1:12" x14ac:dyDescent="0.25">
      <c r="A149" s="8" t="s">
        <v>315</v>
      </c>
      <c r="B149" s="8" t="s">
        <v>61</v>
      </c>
      <c r="C149" s="8">
        <v>2</v>
      </c>
      <c r="D149" s="8" t="s">
        <v>393</v>
      </c>
      <c r="E149" s="8" t="s">
        <v>15</v>
      </c>
      <c r="F149" s="8" t="s">
        <v>318</v>
      </c>
      <c r="G149" s="17">
        <v>0</v>
      </c>
      <c r="H149" s="17">
        <v>0.2</v>
      </c>
      <c r="I149" s="10">
        <v>14.5</v>
      </c>
      <c r="J149" s="10">
        <v>7.5</v>
      </c>
      <c r="K149" s="10">
        <v>6.6</v>
      </c>
      <c r="L149" s="10">
        <v>0.61</v>
      </c>
    </row>
    <row r="150" spans="1:12" x14ac:dyDescent="0.25">
      <c r="A150" s="8" t="s">
        <v>316</v>
      </c>
      <c r="B150" s="8" t="s">
        <v>61</v>
      </c>
      <c r="C150" s="8">
        <v>2</v>
      </c>
      <c r="D150" s="8" t="s">
        <v>393</v>
      </c>
      <c r="E150" s="8" t="s">
        <v>15</v>
      </c>
      <c r="F150" s="8" t="s">
        <v>318</v>
      </c>
      <c r="G150" s="17">
        <v>0</v>
      </c>
      <c r="H150" s="17">
        <v>0.25</v>
      </c>
      <c r="I150" s="10">
        <v>10.7</v>
      </c>
      <c r="J150" s="10">
        <v>8.1</v>
      </c>
      <c r="K150" s="10">
        <v>5.5</v>
      </c>
      <c r="L150" s="10">
        <v>0.42</v>
      </c>
    </row>
    <row r="151" spans="1:12" x14ac:dyDescent="0.25">
      <c r="A151" s="8" t="s">
        <v>317</v>
      </c>
      <c r="B151" s="8" t="s">
        <v>61</v>
      </c>
      <c r="C151" s="8">
        <v>2</v>
      </c>
      <c r="D151" s="8" t="s">
        <v>393</v>
      </c>
      <c r="E151" s="8" t="s">
        <v>15</v>
      </c>
      <c r="F151" s="8" t="s">
        <v>318</v>
      </c>
      <c r="G151" s="17">
        <v>0</v>
      </c>
      <c r="H151" s="17">
        <v>0</v>
      </c>
      <c r="I151" s="10">
        <v>6.7</v>
      </c>
      <c r="J151" s="10">
        <v>3.9</v>
      </c>
      <c r="K151" s="10">
        <v>3.6</v>
      </c>
      <c r="L151" s="10">
        <v>0.09</v>
      </c>
    </row>
  </sheetData>
  <autoFilter ref="B1:L1" xr:uid="{6794D50A-24CC-43BE-AD71-8CB3E04E2731}"/>
  <phoneticPr fontId="1" type="noConversion"/>
  <dataValidations count="1">
    <dataValidation type="list" allowBlank="1" showInputMessage="1" showErrorMessage="1" sqref="E152:E1048576" xr:uid="{67ECE1B1-6284-453B-9AAC-498A616CBCED}">
      <formula1>"unwthrd,sl_wthrd,md_wthrd,hi_wthrd"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Core</vt:lpstr>
      <vt:lpstr>Complete_flake</vt:lpstr>
      <vt:lpstr>Broken_flake</vt:lpstr>
      <vt:lpstr>Tool</vt:lpstr>
      <vt:lpstr>Chunk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Peiyuan XIAO</dc:creator>
  <cp:lastModifiedBy>Peiyuan XIAO</cp:lastModifiedBy>
  <dcterms:created xsi:type="dcterms:W3CDTF">2025-08-24T04:06:20Z</dcterms:created>
  <dcterms:modified xsi:type="dcterms:W3CDTF">2026-06-28T02:23:41Z</dcterms:modified>
</cp:coreProperties>
</file>